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Z:\OPN weekly publication\OPN172_173\Final Tables\"/>
    </mc:Choice>
  </mc:AlternateContent>
  <xr:revisionPtr revIDLastSave="0" documentId="13_ncr:1_{2CB11E77-CFD7-4A05-912D-AD67BAD5C1BC}" xr6:coauthVersionLast="47" xr6:coauthVersionMax="47" xr10:uidLastSave="{00000000-0000-0000-0000-000000000000}"/>
  <bookViews>
    <workbookView xWindow="-108" yWindow="-108" windowWidth="23256" windowHeight="12456" xr2:uid="{00000000-000D-0000-FFFF-FFFF00000000}"/>
  </bookViews>
  <sheets>
    <sheet name="Cover" sheetId="1" r:id="rId1"/>
    <sheet name="Contents" sheetId="2" r:id="rId2"/>
    <sheet name="Previous_data_and_publications" sheetId="12" r:id="rId3"/>
    <sheet name="Notes" sheetId="3" r:id="rId4"/>
    <sheet name="Table_1" sheetId="4" r:id="rId5"/>
    <sheet name="Table_2" sheetId="5" r:id="rId6"/>
    <sheet name="Table_3" sheetId="7" r:id="rId7"/>
    <sheet name="Table_4" sheetId="6" r:id="rId8"/>
    <sheet name="Table_5" sheetId="9" r:id="rId9"/>
    <sheet name="Table_6" sheetId="10" r:id="rId10"/>
    <sheet name="Table_7"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2" l="1"/>
  <c r="C14" i="2"/>
  <c r="C13" i="2"/>
  <c r="C12" i="2"/>
  <c r="A6" i="13"/>
  <c r="A5" i="13"/>
  <c r="A6" i="10"/>
  <c r="A5" i="10"/>
  <c r="A6" i="9"/>
  <c r="A5" i="9"/>
  <c r="A6" i="7"/>
  <c r="A5" i="7"/>
  <c r="A7" i="6"/>
  <c r="A6" i="6"/>
  <c r="A7" i="5"/>
  <c r="A6" i="5"/>
  <c r="A7" i="4"/>
  <c r="A6" i="4"/>
  <c r="A5" i="3"/>
  <c r="C6" i="12"/>
  <c r="A4" i="12"/>
  <c r="C11" i="2"/>
  <c r="C10" i="2"/>
  <c r="C9" i="2"/>
  <c r="C8" i="2"/>
  <c r="C7" i="2"/>
  <c r="C6" i="2"/>
  <c r="C5" i="2"/>
  <c r="C4" i="2"/>
</calcChain>
</file>

<file path=xl/sharedStrings.xml><?xml version="1.0" encoding="utf-8"?>
<sst xmlns="http://schemas.openxmlformats.org/spreadsheetml/2006/main" count="1913" uniqueCount="200">
  <si>
    <t xml:space="preserve">Public opinions and social trends, Great Britain: artificial intelligence, 6 to 31 August 2025 </t>
  </si>
  <si>
    <t>Source: Opinions and Lifestyle Survey from the Office for National Statistics</t>
  </si>
  <si>
    <t>Date published: 19 September 2025</t>
  </si>
  <si>
    <t>This spreadsheet is published alongside the bulletin:</t>
  </si>
  <si>
    <t>Public Opinions and Social Trends, Great Britain: August 2025</t>
  </si>
  <si>
    <t>Statistical contact</t>
  </si>
  <si>
    <t>Public Policy and Social Insights team</t>
  </si>
  <si>
    <t>Policy.Evidence.Analysis@ons.gov.uk</t>
  </si>
  <si>
    <t>Media contact</t>
  </si>
  <si>
    <t>+44 (0)203 973 4761</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</si>
  <si>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</si>
  <si>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</si>
  <si>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latest estimates included in this workbook are based on data collected between 6 to 31 August 2025.</t>
  </si>
  <si>
    <t>Survey changes</t>
  </si>
  <si>
    <t>From the period 30 March 2020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More information on survey changes can be found in our dataset: sample sizes, response rates and user requested data.</t>
  </si>
  <si>
    <t>sample sizes, response rates and user requested data</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</si>
  <si>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</si>
  <si>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</si>
  <si>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</si>
  <si>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</si>
  <si>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</si>
  <si>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</si>
  <si>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</si>
  <si>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</si>
  <si>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</si>
  <si>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</si>
  <si>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</si>
  <si>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</si>
  <si>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All estimates in this spreadsheet are individually rounded to whole numbers. Estimates, weighted counts and sample sizes may not sum due to rounding. In some cases, due to rounding, an estimate and its confidence intervals may appear to be the same.</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</si>
  <si>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</si>
  <si>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Statistical Service guidance on:</t>
  </si>
  <si>
    <t>Using symbols and shorthand in tables</t>
  </si>
  <si>
    <t>OPN data</t>
  </si>
  <si>
    <t>The microdata are available through the UK Data Service.</t>
  </si>
  <si>
    <t>ONS Opinions and Lifestyle Survey, COVID-19 module</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</si>
  <si>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</si>
  <si>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</si>
  <si>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</si>
  <si>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</si>
  <si>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</si>
  <si>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</si>
  <si>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</si>
  <si>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</si>
  <si>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</si>
  <si>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Contents</t>
  </si>
  <si>
    <t>Previous_data_and_publications</t>
  </si>
  <si>
    <t>Artificial intelligence: previous data tables and publications</t>
  </si>
  <si>
    <t>Notes</t>
  </si>
  <si>
    <t>Table_1</t>
  </si>
  <si>
    <t>To what extent do you agree or disagree that artificial intelligence (AI) will benefit you?</t>
  </si>
  <si>
    <t>Table_2</t>
  </si>
  <si>
    <t>To what extent do you agree or disagree with the following statement? “I trust the government to use artificial intelligence (AI) to complete some of its tasks”</t>
  </si>
  <si>
    <t>Table_3</t>
  </si>
  <si>
    <t>Which public services, if any, would you trust to use artificial intelligence (AI) to complete some of their tasks?</t>
  </si>
  <si>
    <t>Table_4</t>
  </si>
  <si>
    <t xml:space="preserve">To what extent do you agree or disagree with the following statement?   
“I trust the use of artificial intelligence (AI) in public transport to complete some of its tasks”   </t>
  </si>
  <si>
    <t>Table_5</t>
  </si>
  <si>
    <t>Which of the following uses of artificial intelligence (AI) in public transport, if any, would you feel comfortable with?</t>
  </si>
  <si>
    <t>Table_6</t>
  </si>
  <si>
    <r>
      <t>Here are some other uses of artificial intelligence (AI) in public transport.</t>
    </r>
    <r>
      <rPr>
        <sz val="12"/>
        <color rgb="FF000000"/>
        <rFont val="Arial"/>
      </rPr>
      <t xml:space="preserve"> Which of the following, if any, would you feel comfortable with?  </t>
    </r>
  </si>
  <si>
    <t>Table_7</t>
  </si>
  <si>
    <t xml:space="preserve">Trends in the extent to which people agree that artificial intelligence (AI) will benefit them </t>
  </si>
  <si>
    <t>Tables from previous publications are available to download using the links below.</t>
  </si>
  <si>
    <t>Periods</t>
  </si>
  <si>
    <t>Published tables</t>
  </si>
  <si>
    <t>Associated publication</t>
  </si>
  <si>
    <t>All periods from 1 November 2023 to 31 August 2025</t>
  </si>
  <si>
    <t>10 April to 30 June 2024</t>
  </si>
  <si>
    <t>Public opinions and social trends, Great Britain: artificial intelligence (AI) by personal characteristics</t>
  </si>
  <si>
    <t>Public opinions and social trends, Great Britain: August 2024</t>
  </si>
  <si>
    <t>26 July to 1 October 2023</t>
  </si>
  <si>
    <t>Public awareness, opinions and expectations about artificial intelligence: July to October 2023</t>
  </si>
  <si>
    <t>19 April to 14 May 2023</t>
  </si>
  <si>
    <t>Artificial Intelligence (AI) awareness, use and impact, Great Britain</t>
  </si>
  <si>
    <t>Understanding AI uptake and sentiment among people and businesses in the UK: June 2023</t>
  </si>
  <si>
    <t xml:space="preserve">Notes </t>
  </si>
  <si>
    <t>This worksheet contains two tables presented vertically with one blank row in between.</t>
  </si>
  <si>
    <t xml:space="preserve">Table 1 contains notes relating to the specific data for artificial intelligence. </t>
  </si>
  <si>
    <t>Table 2 contains more general notes relating to the data collection and policy changes across each of the different reference periods.</t>
  </si>
  <si>
    <t>Table 1: Notes for artificial intelligence data</t>
  </si>
  <si>
    <t>Note number</t>
  </si>
  <si>
    <t>Note text</t>
  </si>
  <si>
    <t xml:space="preserve">The following definition of artificial intelligence was presented to survey respondents (once) before answering these survey questions.
"AI is a technology that can learn how to perform tasks by processing large amounts of data such as text and images. AI can perform tasks usually done by humans, either independently or in cooperation with them. AI is currently used in a variety of ways, including:  
virtual assistants (for example Alexa and Siri)           
personalised recommendations for products, music, and TV shows online   
chatbots that can answer complex questions (for example ChatGPT)   
facial recognition software that can unlock a mobile phone or identify visitors    
self-driving vehicles   
medical diagnostic tools "
</t>
  </si>
  <si>
    <t>Where individual answer categories for a question have been combined to provide an estimate, the total percentage may not sum exactly to the individual categories due to rounding.</t>
  </si>
  <si>
    <t>Respondents were able to choose more than one option.</t>
  </si>
  <si>
    <t xml:space="preserve">Respondents who reported at least one of the options when asked 'Which public services, if any, would you trust to use artificial intelligence (AI) to complete some of their tasks?' </t>
  </si>
  <si>
    <t>Table 2: Notes relating to data collection and changes to survey questions and policy over time</t>
  </si>
  <si>
    <t>Data collection period</t>
  </si>
  <si>
    <t>Notes related to data collection</t>
  </si>
  <si>
    <t>Notes related to survey questions</t>
  </si>
  <si>
    <t>Related links</t>
  </si>
  <si>
    <t>1 to 12 November 2023</t>
  </si>
  <si>
    <t>The following definition was used for the period 1 to 12 November 2023 (please see Notes Table 1, note 1 for the definition used in the latest period):
"AI are computer programs or machines that can learn from data and perform tasks usually done by humans. AI is currently used in a variety of ways, including:
• virtual assistants (for example Alexa and Siri 
• personalised recommendations for products, music and TV shows online
• chatbots that can answer complex questions (for example ChatGPT and Google Bard)
• facial recognition software that can unlock a mobile phone or identify visitors 
• medical diagnostic tools"
Estimates collected from this period onwards are not comparable with those published for previous periods due to a change in this definition.</t>
  </si>
  <si>
    <t>29 November to 10 December 2023</t>
  </si>
  <si>
    <t>4 to 14 January 2024</t>
  </si>
  <si>
    <t>This data collection period was shorter by 1 day due to the New Years day bank holiday.</t>
  </si>
  <si>
    <t>31 January to 11 February 2024</t>
  </si>
  <si>
    <t>An incentive to participate was included in this period.</t>
  </si>
  <si>
    <t>28 February to 10 March 2024</t>
  </si>
  <si>
    <t>In this period online data collection was interrupted for a short time on the 6 and 7 March due to a server issue.</t>
  </si>
  <si>
    <t>27 March to 7 April 2024</t>
  </si>
  <si>
    <t>From the period 27 March to 7 April 2024 onwards, the wording of the definition of artificial intelligence (AI) provided to respondents before answering the survey questions was changed slightly to:
"AI are computer programs or machines that can learn from data and perform tasks usually done by humans. AI is currently used in a variety of ways, including:
• virtual assistants (for example Alexa and Siri)       
• personalised recommendations for products, music and TV shows online
• chatbots that can answer complex questions (for example ChatGPT)
• facial recognition software that can unlock a mobile phone or identify visitors
• medical diagnostic tools"
This does not appear to have impacted the estimates.</t>
  </si>
  <si>
    <t>10 to 21 April 2024</t>
  </si>
  <si>
    <t>24 April to 6 May 2024</t>
  </si>
  <si>
    <t>This data collection period was 1 day longer than usual due to the early May bank holiday. An unconditional non-financial incentive (items of stationery) to participate was added to the survey from this period onwards.</t>
  </si>
  <si>
    <t>8 to 19 May 2024</t>
  </si>
  <si>
    <t>22 May to 2 June 2024</t>
  </si>
  <si>
    <t>5 to 30 June 2024</t>
  </si>
  <si>
    <t>From the 5 to 16 June 2024 data collection period onwards, the issued sample size for each fortnightly Opinions and Lifestyle Survey (OPN) has reduced from approximately 5,000 individuals who had previously completed the Labour Market Survey (LMS) or OPN to approximately 2,000 individuals who had previously completed the LMS. This follows ONS' regular review of the sustainability of its statistics and analysis.</t>
  </si>
  <si>
    <t>5 to 28 July 2024</t>
  </si>
  <si>
    <t>This data collection period was shorter by 2 days due to the General Election.</t>
  </si>
  <si>
    <t>7 August to 1 September 2024</t>
  </si>
  <si>
    <t>From the 7 to 18 August 2024 data collection period onwards, the population totals used in weighting OPN estimates have been updated and are based on projections from mid-2022 population estimates. This change does not appear to have impacted estimates.</t>
  </si>
  <si>
    <t>6 November to 1 December 2024</t>
  </si>
  <si>
    <t>Response rate may be slightly lower in this period due to a change in the consent procedure required for contacting potential respondents.</t>
  </si>
  <si>
    <r>
      <rPr>
        <sz val="12"/>
        <rFont val="Arial"/>
        <family val="2"/>
      </rPr>
      <t xml:space="preserve">From this data collection period onwards, respondents were presented with the following definition of artificial intelligence (AI) before answering the survey questions:
</t>
    </r>
    <r>
      <rPr>
        <sz val="12"/>
        <color rgb="FF000000"/>
        <rFont val="Arial"/>
        <family val="2"/>
      </rPr>
      <t xml:space="preserve">
 "AI are computer programs or machines that can learn from data and perform tasks usually done by humans. AI is currently used in a variety of ways, including:
• virtual assistants (for example Alexa and Siri)       
• personalised recommendations for products, music and TV shows online
• chatbots that can answer complex questions (for example ChatGPT)
• facial recognition software that can unlock a mobile phone or identify visitors
• self-driving vehicles
• medical diagnostic tools"
This definition now contains self-driving vehicles as an example. This change does not appear to have impacted estimates.</t>
    </r>
  </si>
  <si>
    <t>6 to 31 August 2025</t>
  </si>
  <si>
    <t>To what extent do you agree or disagree that artificial intelligence (AI) will benefit you? [note 1]</t>
  </si>
  <si>
    <t>Great Britain, 6 to 31 August 2025</t>
  </si>
  <si>
    <t>Some cells refer to notes which can be found on the Notes worksheet.</t>
  </si>
  <si>
    <t>Blank cells indicate that there's no note in that row.</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</si>
  <si>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</si>
  <si>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To what extent do you agree or disagree that artificial intelligence (AI) will benefit you?</t>
  </si>
  <si>
    <t>Breakdown category</t>
  </si>
  <si>
    <t>Breakdown</t>
  </si>
  <si>
    <t>Response options</t>
  </si>
  <si>
    <t>Estimate (%)</t>
  </si>
  <si>
    <t>LCL</t>
  </si>
  <si>
    <t>UCL</t>
  </si>
  <si>
    <t>All persons</t>
  </si>
  <si>
    <t>All</t>
  </si>
  <si>
    <t>Strongly agree</t>
  </si>
  <si>
    <t>Agree</t>
  </si>
  <si>
    <t>Neither agree nor disagree</t>
  </si>
  <si>
    <t>Disagree</t>
  </si>
  <si>
    <t>Strongly disagree</t>
  </si>
  <si>
    <t>Strongly agree or agree</t>
  </si>
  <si>
    <t>[note 2]</t>
  </si>
  <si>
    <t>Strongly disagree or disagree</t>
  </si>
  <si>
    <t>Age bands</t>
  </si>
  <si>
    <t>16 to 29</t>
  </si>
  <si>
    <t>30 to 49</t>
  </si>
  <si>
    <t>50 to 69</t>
  </si>
  <si>
    <t>70 and over</t>
  </si>
  <si>
    <t>Sex</t>
  </si>
  <si>
    <t>Male</t>
  </si>
  <si>
    <t>Female</t>
  </si>
  <si>
    <t>To what extent do you agree or disagree with the following statement? “I trust the government to use artificial intelligence (AI) to complete some of its tasks” [note 1]</t>
  </si>
  <si>
    <t>Question: To what extent do you agree or disagree with the following statement? “I trust the government to use artificial intelligence (AI) to complete some of its tasks”</t>
  </si>
  <si>
    <t>AI benefit grouped</t>
  </si>
  <si>
    <t>[note 5]</t>
  </si>
  <si>
    <t>[note 2] [note 5]</t>
  </si>
  <si>
    <t>[c]</t>
  </si>
  <si>
    <t>Which public services, if any, would you trust to use artificial intelligence (AI) to complete some of their tasks? [note 1][note 3]</t>
  </si>
  <si>
    <t>Question: Which public services, if any, would you trust to use artificial intelligence (AI) to complete some of their tasks?</t>
  </si>
  <si>
    <t>Education</t>
  </si>
  <si>
    <t>Emergency services</t>
  </si>
  <si>
    <t>Healthcare</t>
  </si>
  <si>
    <t>Social care</t>
  </si>
  <si>
    <t>Transport</t>
  </si>
  <si>
    <t>Housing</t>
  </si>
  <si>
    <t>Defence</t>
  </si>
  <si>
    <t>Other</t>
  </si>
  <si>
    <t>I would not trust any public service to complete some of their tasks using AI</t>
  </si>
  <si>
    <t>Trusts at least one public service to use AI for some of their tasks</t>
  </si>
  <si>
    <t>[note 4]</t>
  </si>
  <si>
    <t>[note 4] [note 5]</t>
  </si>
  <si>
    <t>[low]</t>
  </si>
  <si>
    <t>To what extent do you agree or disagree with the following statement? “I trust the use of artificial intelligence (AI) in public transport to complete some of its tasks” [note 1]</t>
  </si>
  <si>
    <t xml:space="preserve">[note 2] </t>
  </si>
  <si>
    <t>Which of the following uses of artificial intelligence (AI) in public transport, if any, would you feel comfortable with? [note 1][note 3]</t>
  </si>
  <si>
    <t>Question: Which of the following uses of artificial intelligence (AI) in public transport, if any, would you feel comfortable with?</t>
  </si>
  <si>
    <t>Inspecting bridges, rail lines, and roads for damage or hazards</t>
  </si>
  <si>
    <t>Managing air traffic and flight routes</t>
  </si>
  <si>
    <t>Controlling traffic lights and congestion</t>
  </si>
  <si>
    <t>Identifying fraud</t>
  </si>
  <si>
    <t>Responding to customer queries in real time</t>
  </si>
  <si>
    <t>Analysing data to inform policy</t>
  </si>
  <si>
    <t>Replying to communication from the public</t>
  </si>
  <si>
    <t>Measuring the environmental impact of transport projects</t>
  </si>
  <si>
    <t>Self-driving vehicles</t>
  </si>
  <si>
    <t>None of the above</t>
  </si>
  <si>
    <t>Here are some other uses of artificial intelligence (AI) in public transport. Which of the following, if any, would you feel comfortable with? [note 1][note 3]</t>
  </si>
  <si>
    <t>Question: Here are some other uses of artificial intelligence (AI) in public transport. Which of the following, if any, would you feel comfortable with?</t>
  </si>
  <si>
    <t>Issuing penalties and warnings for driving offences</t>
  </si>
  <si>
    <t>Identifying risks to passenger safety on public transport</t>
  </si>
  <si>
    <t>Reviewing a person’s eligibility for a driving licence</t>
  </si>
  <si>
    <t>Updating train timetables in real time during disruptions</t>
  </si>
  <si>
    <t>Suggesting transport changes that best serve most users</t>
  </si>
  <si>
    <t>Using your information to improve services</t>
  </si>
  <si>
    <t>Checking that people pay the right travel fare</t>
  </si>
  <si>
    <t>Trends in the extent to which people agree that artificial intelligence (AI) will benefit them [note 1] [note 2]</t>
  </si>
  <si>
    <t>Great Britain, 1 November 2023 to 31 August 2025</t>
  </si>
  <si>
    <t xml:space="preserve">Question: To what extent do you agree or disagree that artificial intelligence (AI) will benefit you? </t>
  </si>
  <si>
    <t xml:space="preserve">Percentage of adults reporting they strongly agree or agree that artificial intelligence (AI) will benefit them </t>
  </si>
  <si>
    <t>All
persons 
%</t>
  </si>
  <si>
    <t>All
persons
LCL</t>
  </si>
  <si>
    <t>All 
persons
UCL</t>
  </si>
  <si>
    <t xml:space="preserve">Question: To what extent do you agree or disagree with the following statement?  “I trust the use of artificial intelligence (AI) in public transport to complete some of its tasks” </t>
  </si>
  <si>
    <t>The 'AI benefit grouped' breakdown includes grouped responses from the question; 'To what extent do you agree or disagree that artificial intelligence (AI) will benefit you?' in Table 1 of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</si>
</sst>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7"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b/>
      <sz val="13"/>
      <color rgb="FF000000"/>
      <name val="Arial"/>
    </font>
    <font>
      <b/>
      <sz val="12"/>
      <name val="Arial"/>
      <family val="2"/>
    </font>
    <font>
      <sz val="12"/>
      <name val="Arial"/>
      <family val="2"/>
    </font>
    <font>
      <sz val="12"/>
      <color rgb="FF000000"/>
      <name val="Arial"/>
      <family val="2"/>
    </font>
    <font>
      <sz val="12"/>
      <color theme="1"/>
      <name val="Arial"/>
      <family val="2"/>
    </font>
    <font>
      <b/>
      <sz val="15"/>
      <color theme="3"/>
      <name val="Calibri"/>
      <scheme val="minor"/>
    </font>
    <font>
      <b/>
      <sz val="13"/>
      <color theme="3"/>
      <name val="Calibri"/>
      <scheme val="minor"/>
    </font>
    <font>
      <b/>
      <sz val="16"/>
      <name val="Arial"/>
      <family val="2"/>
    </font>
    <font>
      <b/>
      <sz val="13"/>
      <name val="Arial"/>
      <family val="2"/>
    </font>
    <font>
      <u/>
      <sz val="12"/>
      <color theme="10"/>
      <name val="Arial"/>
      <family val="2"/>
    </font>
    <font>
      <b/>
      <sz val="12"/>
      <color rgb="FF000000"/>
      <name val="Arial"/>
      <family val="2"/>
    </font>
    <font>
      <u/>
      <sz val="12"/>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n">
        <color auto="1"/>
      </bottom>
      <diagonal/>
    </border>
  </borders>
  <cellStyleXfs count="7">
    <xf numFmtId="0" fontId="0" fillId="0" borderId="0"/>
    <xf numFmtId="0" fontId="9" fillId="0" borderId="0"/>
    <xf numFmtId="0" fontId="1"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8" fillId="0" borderId="0"/>
    <xf numFmtId="0" fontId="14" fillId="0" borderId="0" applyNumberFormat="0" applyFill="0" applyBorder="0" applyAlignment="0" applyProtection="0"/>
  </cellStyleXfs>
  <cellXfs count="70">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wrapText="1"/>
    </xf>
    <xf numFmtId="0" fontId="4" fillId="0" borderId="0" xfId="0" applyFont="1" applyAlignment="1">
      <alignment horizontal="right" wrapText="1"/>
    </xf>
    <xf numFmtId="0" fontId="1" fillId="0" borderId="0" xfId="0" applyFont="1"/>
    <xf numFmtId="0" fontId="4" fillId="0" borderId="0" xfId="0" applyFont="1"/>
    <xf numFmtId="0" fontId="0" fillId="0" borderId="0" xfId="0" applyAlignment="1">
      <alignment vertical="center" wrapText="1"/>
    </xf>
    <xf numFmtId="0" fontId="1" fillId="0" borderId="0" xfId="0" applyFont="1" applyAlignment="1">
      <alignment vertical="center" wrapText="1"/>
    </xf>
    <xf numFmtId="3" fontId="0" fillId="0" borderId="0" xfId="0" applyNumberFormat="1"/>
    <xf numFmtId="0" fontId="1" fillId="0" borderId="0" xfId="0" applyFont="1" applyAlignment="1">
      <alignment horizontal="left"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3" fontId="0" fillId="0" borderId="0" xfId="0" applyNumberFormat="1" applyAlignment="1">
      <alignment horizontal="right"/>
    </xf>
    <xf numFmtId="0" fontId="5" fillId="0" borderId="0" xfId="0" applyFont="1"/>
    <xf numFmtId="0" fontId="6" fillId="0" borderId="0" xfId="0" applyFont="1" applyAlignment="1">
      <alignment horizontal="left"/>
    </xf>
    <xf numFmtId="0" fontId="7"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horizontal="right" vertical="center" wrapText="1"/>
    </xf>
    <xf numFmtId="0" fontId="0" fillId="0" borderId="0" xfId="0" applyAlignment="1">
      <alignment horizontal="left" vertical="center" wrapText="1"/>
    </xf>
    <xf numFmtId="0" fontId="8" fillId="0" borderId="0" xfId="0" applyFont="1" applyAlignment="1">
      <alignment vertical="center" wrapText="1"/>
    </xf>
    <xf numFmtId="0" fontId="7" fillId="0" borderId="0" xfId="0" applyFont="1" applyAlignment="1">
      <alignment horizontal="right" wrapText="1"/>
    </xf>
    <xf numFmtId="0" fontId="0" fillId="0" borderId="0" xfId="1" applyFont="1" applyAlignment="1">
      <alignment vertical="center" wrapText="1"/>
    </xf>
    <xf numFmtId="0" fontId="0" fillId="0" borderId="0" xfId="0" applyAlignment="1">
      <alignment horizontal="left"/>
    </xf>
    <xf numFmtId="0" fontId="7" fillId="0" borderId="0" xfId="1" applyFont="1" applyAlignment="1">
      <alignment horizontal="right" vertical="center" wrapText="1"/>
    </xf>
    <xf numFmtId="0" fontId="8" fillId="0" borderId="0" xfId="0" applyFont="1" applyAlignment="1">
      <alignment horizontal="left" vertical="center" wrapText="1"/>
    </xf>
    <xf numFmtId="0" fontId="0" fillId="0" borderId="0" xfId="0" quotePrefix="1" applyAlignment="1">
      <alignment vertical="top" wrapText="1"/>
    </xf>
    <xf numFmtId="164" fontId="7" fillId="0" borderId="0" xfId="1" applyNumberFormat="1" applyFont="1" applyAlignment="1">
      <alignment horizontal="right" vertical="center"/>
    </xf>
    <xf numFmtId="0" fontId="7" fillId="0" borderId="0" xfId="1" quotePrefix="1" applyFont="1" applyAlignment="1">
      <alignment horizontal="left" vertical="center"/>
    </xf>
    <xf numFmtId="3" fontId="7" fillId="0" borderId="0" xfId="1" applyNumberFormat="1" applyFont="1" applyAlignment="1">
      <alignment horizontal="right" vertical="center"/>
    </xf>
    <xf numFmtId="0" fontId="7" fillId="0" borderId="0" xfId="1" applyFont="1" applyAlignment="1">
      <alignment horizontal="right" vertical="center"/>
    </xf>
    <xf numFmtId="0" fontId="7" fillId="0" borderId="0" xfId="1" applyFont="1" applyAlignment="1">
      <alignment vertical="center"/>
    </xf>
    <xf numFmtId="0" fontId="13" fillId="0" borderId="0" xfId="4" applyFont="1" applyFill="1" applyBorder="1"/>
    <xf numFmtId="0" fontId="8" fillId="0" borderId="0" xfId="5"/>
    <xf numFmtId="0" fontId="13" fillId="0" borderId="0" xfId="1" applyFont="1"/>
    <xf numFmtId="0" fontId="14" fillId="0" borderId="0" xfId="5" applyFont="1"/>
    <xf numFmtId="0" fontId="7" fillId="0" borderId="0" xfId="1" applyFont="1" applyAlignment="1">
      <alignment vertical="center" wrapText="1"/>
    </xf>
    <xf numFmtId="0" fontId="15" fillId="0" borderId="0" xfId="5" applyFont="1"/>
    <xf numFmtId="0" fontId="7" fillId="0" borderId="0" xfId="1" applyFont="1" applyAlignment="1">
      <alignment horizontal="right" wrapText="1"/>
    </xf>
    <xf numFmtId="0" fontId="9" fillId="0" borderId="0" xfId="1"/>
    <xf numFmtId="0" fontId="7" fillId="0" borderId="0" xfId="1" applyFont="1"/>
    <xf numFmtId="0" fontId="6" fillId="0" borderId="3" xfId="1" applyFont="1" applyBorder="1" applyAlignment="1">
      <alignment horizontal="left" wrapText="1"/>
    </xf>
    <xf numFmtId="0" fontId="6" fillId="0" borderId="3" xfId="1" applyFont="1" applyBorder="1" applyAlignment="1">
      <alignment horizontal="right" wrapText="1"/>
    </xf>
    <xf numFmtId="0" fontId="7" fillId="0" borderId="0" xfId="1" applyFont="1" applyAlignment="1">
      <alignment horizontal="left" vertical="center" wrapText="1"/>
    </xf>
    <xf numFmtId="1" fontId="7" fillId="0" borderId="0" xfId="1" applyNumberFormat="1" applyFont="1" applyAlignment="1">
      <alignment horizontal="right" vertical="center"/>
    </xf>
    <xf numFmtId="3" fontId="8" fillId="0" borderId="0" xfId="1" applyNumberFormat="1" applyFont="1" applyAlignment="1">
      <alignment horizontal="right"/>
    </xf>
    <xf numFmtId="1" fontId="7" fillId="0" borderId="0" xfId="1" applyNumberFormat="1" applyFont="1" applyAlignment="1">
      <alignment horizontal="right"/>
    </xf>
    <xf numFmtId="3" fontId="8" fillId="0" borderId="0" xfId="5" applyNumberFormat="1" applyAlignment="1">
      <alignment horizontal="right"/>
    </xf>
    <xf numFmtId="0" fontId="7" fillId="0" borderId="0" xfId="1" applyFont="1" applyAlignment="1">
      <alignment horizontal="left" vertical="center"/>
    </xf>
    <xf numFmtId="0" fontId="16" fillId="0" borderId="0" xfId="6" applyFont="1" applyAlignment="1">
      <alignment horizontal="left" vertical="center"/>
    </xf>
    <xf numFmtId="0" fontId="1" fillId="0" borderId="0" xfId="2" applyFill="1" applyBorder="1" applyAlignment="1">
      <alignment wrapText="1"/>
    </xf>
    <xf numFmtId="0" fontId="1" fillId="0" borderId="0" xfId="2" applyAlignment="1">
      <alignment horizontal="left" wrapText="1"/>
    </xf>
    <xf numFmtId="0" fontId="7" fillId="0" borderId="0" xfId="0" applyFont="1"/>
    <xf numFmtId="0" fontId="8" fillId="0" borderId="0" xfId="0" applyFont="1" applyAlignment="1">
      <alignment horizontal="left" wrapText="1"/>
    </xf>
    <xf numFmtId="0" fontId="2" fillId="0" borderId="0" xfId="0" applyFont="1" applyAlignment="1">
      <alignment horizontal="left"/>
    </xf>
    <xf numFmtId="43" fontId="12" fillId="0" borderId="0" xfId="3" applyNumberFormat="1" applyFont="1" applyBorder="1" applyAlignment="1">
      <alignment horizontal="left" vertical="top"/>
    </xf>
    <xf numFmtId="0" fontId="14" fillId="0" borderId="0" xfId="6" applyFill="1" applyAlignment="1">
      <alignment vertical="center" wrapText="1"/>
    </xf>
    <xf numFmtId="0" fontId="14" fillId="0" borderId="0" xfId="6" applyFill="1" applyAlignment="1">
      <alignment vertical="center"/>
    </xf>
    <xf numFmtId="0" fontId="7" fillId="0" borderId="0" xfId="0" applyFont="1" applyAlignment="1">
      <alignment horizontal="left" vertical="top" wrapText="1"/>
    </xf>
    <xf numFmtId="0" fontId="8" fillId="0" borderId="0" xfId="0" applyFont="1" applyAlignment="1">
      <alignment vertical="center"/>
    </xf>
    <xf numFmtId="0" fontId="8" fillId="0" borderId="0" xfId="0" applyFont="1" applyAlignment="1">
      <alignment wrapText="1"/>
    </xf>
    <xf numFmtId="0" fontId="1" fillId="0" borderId="0" xfId="2" applyAlignment="1">
      <alignment vertical="center" wrapText="1"/>
    </xf>
  </cellXfs>
  <cellStyles count="7">
    <cellStyle name="Heading 1" xfId="3" builtinId="16"/>
    <cellStyle name="Heading 2" xfId="4" builtinId="17"/>
    <cellStyle name="Hyperlink" xfId="2" builtinId="8"/>
    <cellStyle name="Hyperlink 5" xfId="6" xr:uid="{C0AB7273-6D2B-48D1-9245-0A113F28711B}"/>
    <cellStyle name="Normal" xfId="0" builtinId="0"/>
    <cellStyle name="Normal 2" xfId="5" xr:uid="{4088A7D3-556E-4C54-B46C-301C486F27A9}"/>
    <cellStyle name="Normal 5" xfId="1" xr:uid="{2F8DEAE4-AD92-48CB-9BB6-9D1121B480E5}"/>
  </cellStyles>
  <dxfs count="9">
    <dxf>
      <font>
        <b val="0"/>
        <i val="0"/>
        <strike val="0"/>
        <condense val="0"/>
        <extend val="0"/>
        <outline val="0"/>
        <shadow val="0"/>
        <u val="none"/>
        <vertAlign val="baseline"/>
        <sz val="12"/>
        <color auto="1"/>
        <name val="Arial"/>
        <family val="2"/>
        <scheme val="none"/>
      </font>
      <numFmt numFmtId="0" formatCode="General"/>
      <alignment horizontal="left" vertical="center" textRotation="0" wrapText="1" indent="0" justifyLastLine="0" shrinkToFit="0" readingOrder="0"/>
    </dxf>
    <dxf>
      <border outline="0">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auto="1"/>
        <name val="Arial"/>
        <family val="2"/>
        <scheme val="none"/>
      </font>
      <numFmt numFmtId="0" formatCode="Genera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14" totalsRowShown="0">
  <tableColumns count="3">
    <tableColumn id="1" xr3:uid="{00000000-0010-0000-0000-000001000000}" name="Worksheet"/>
    <tableColumn id="2" xr3:uid="{00000000-0010-0000-0000-000002000000}" name="Worksheet_title"/>
    <tableColumn id="3" xr3:uid="{00000000-0010-0000-0000-000003000000}" name="Link to tab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previous_data_and_publications" displayName="previous_data_and_publications" ref="A5:C9" totalsRowShown="0">
  <tableColumns count="3">
    <tableColumn id="1" xr3:uid="{00000000-0010-0000-0100-000001000000}" name="Periods"/>
    <tableColumn id="2" xr3:uid="{00000000-0010-0000-0100-000002000000}" name="Published tables"/>
    <tableColumn id="3" xr3:uid="{00000000-0010-0000-0100-000003000000}" name="Associated publication"/>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notes" displayName="notes" ref="A7:B12" totalsRowShown="0">
  <tableColumns count="2">
    <tableColumn id="1" xr3:uid="{00000000-0010-0000-0200-000001000000}" name="Note number"/>
    <tableColumn id="2" xr3:uid="{00000000-0010-0000-0200-000002000000}" name="Note text"/>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890A4D-FBBA-4397-9228-E7C8273A580B}" name="notes_table2" displayName="notes_table2" ref="A15:D30" totalsRowShown="0" headerRowDxfId="8">
  <tableColumns count="4">
    <tableColumn id="1" xr3:uid="{13B0F498-C74D-4B5B-95B8-42E1B1730970}" name="Data collection period" dataDxfId="7"/>
    <tableColumn id="2" xr3:uid="{FE849F53-51F2-4ACE-B035-1004693CE310}" name="Notes related to data collection" dataDxfId="6"/>
    <tableColumn id="3" xr3:uid="{51BBA55B-D02C-46B9-ACBF-4A6A63736965}" name="Notes related to survey questions" dataDxfId="5"/>
    <tableColumn id="4" xr3:uid="{6421423D-8BBD-40A6-919A-1330C8CFE0EE}" name="Related links" dataDxfId="4"/>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 displayName="table_1" ref="A11:I60" totalsRowShown="0">
  <tableColumns count="9">
    <tableColumn id="1" xr3:uid="{00000000-0010-0000-0300-000001000000}" name="Breakdown category"/>
    <tableColumn id="2" xr3:uid="{00000000-0010-0000-0300-000002000000}" name="Breakdown"/>
    <tableColumn id="3" xr3:uid="{00000000-0010-0000-0300-000003000000}" name="Response options"/>
    <tableColumn id="4" xr3:uid="{00000000-0010-0000-0300-000004000000}" name="Estimate (%)"/>
    <tableColumn id="5" xr3:uid="{00000000-0010-0000-0300-000005000000}" name="LCL"/>
    <tableColumn id="6" xr3:uid="{00000000-0010-0000-0300-000006000000}" name="UCL"/>
    <tableColumn id="7" xr3:uid="{00000000-0010-0000-0300-000007000000}" name="Sample size"/>
    <tableColumn id="8" xr3:uid="{00000000-0010-0000-0300-000008000000}" name="Weighted count"/>
    <tableColumn id="9" xr3:uid="{00000000-0010-0000-0300-000009000000}" name="Notes"/>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2" displayName="table_2" ref="A11:I81" totalsRowShown="0">
  <tableColumns count="9">
    <tableColumn id="1" xr3:uid="{00000000-0010-0000-0400-000001000000}" name="Breakdown category"/>
    <tableColumn id="2" xr3:uid="{00000000-0010-0000-0400-000002000000}" name="Breakdown"/>
    <tableColumn id="3" xr3:uid="{00000000-0010-0000-0400-000003000000}" name="Response options"/>
    <tableColumn id="4" xr3:uid="{00000000-0010-0000-0400-000004000000}" name="Estimate (%)"/>
    <tableColumn id="5" xr3:uid="{00000000-0010-0000-0400-000005000000}" name="LCL"/>
    <tableColumn id="6" xr3:uid="{00000000-0010-0000-0400-000006000000}" name="UCL"/>
    <tableColumn id="7" xr3:uid="{00000000-0010-0000-0400-000007000000}" name="Sample size"/>
    <tableColumn id="8" xr3:uid="{00000000-0010-0000-0400-000008000000}" name="Weighted count"/>
    <tableColumn id="9" xr3:uid="{00000000-0010-0000-0400-000009000000}" name="Notes"/>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4" displayName="table_4" ref="A10:I110" totalsRowShown="0">
  <tableColumns count="9">
    <tableColumn id="1" xr3:uid="{00000000-0010-0000-0600-000001000000}" name="Breakdown category"/>
    <tableColumn id="2" xr3:uid="{00000000-0010-0000-0600-000002000000}" name="Breakdown"/>
    <tableColumn id="3" xr3:uid="{00000000-0010-0000-0600-000003000000}" name="Response options"/>
    <tableColumn id="4" xr3:uid="{00000000-0010-0000-0600-000004000000}" name="Estimate (%)"/>
    <tableColumn id="5" xr3:uid="{00000000-0010-0000-0600-000005000000}" name="LCL"/>
    <tableColumn id="6" xr3:uid="{00000000-0010-0000-0600-000006000000}" name="UCL"/>
    <tableColumn id="7" xr3:uid="{00000000-0010-0000-0600-000007000000}" name="Sample size"/>
    <tableColumn id="8" xr3:uid="{00000000-0010-0000-0600-000008000000}" name="Weighted count"/>
    <tableColumn id="9" xr3:uid="{AF0E12E3-E56B-47DF-8013-02E28ED0760F}" name="Notes"/>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3" displayName="table_3" ref="A11:I81" totalsRowShown="0">
  <tableColumns count="9">
    <tableColumn id="1" xr3:uid="{00000000-0010-0000-0500-000001000000}" name="Breakdown category"/>
    <tableColumn id="2" xr3:uid="{00000000-0010-0000-0500-000002000000}" name="Breakdown"/>
    <tableColumn id="3" xr3:uid="{00000000-0010-0000-0500-000003000000}" name="Response options"/>
    <tableColumn id="4" xr3:uid="{00000000-0010-0000-0500-000004000000}" name="Estimate (%)"/>
    <tableColumn id="5" xr3:uid="{00000000-0010-0000-0500-000005000000}" name="LCL"/>
    <tableColumn id="6" xr3:uid="{00000000-0010-0000-0500-000006000000}" name="UCL"/>
    <tableColumn id="7" xr3:uid="{00000000-0010-0000-0500-000007000000}" name="Sample size"/>
    <tableColumn id="8" xr3:uid="{00000000-0010-0000-0500-000008000000}" name="Weighted count"/>
    <tableColumn id="9" xr3:uid="{00000000-0010-0000-0500-000009000000}" name="Notes"/>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6" displayName="table_6" ref="A10:I120" totalsRowShown="0">
  <tableColumns count="9">
    <tableColumn id="1" xr3:uid="{00000000-0010-0000-0800-000001000000}" name="Breakdown category"/>
    <tableColumn id="2" xr3:uid="{00000000-0010-0000-0800-000002000000}" name="Breakdown"/>
    <tableColumn id="3" xr3:uid="{00000000-0010-0000-0800-000003000000}" name="Response options"/>
    <tableColumn id="4" xr3:uid="{00000000-0010-0000-0800-000004000000}" name="Estimate (%)"/>
    <tableColumn id="5" xr3:uid="{00000000-0010-0000-0800-000005000000}" name="LCL"/>
    <tableColumn id="6" xr3:uid="{00000000-0010-0000-0800-000006000000}" name="UCL"/>
    <tableColumn id="7" xr3:uid="{00000000-0010-0000-0800-000007000000}" name="Sample size"/>
    <tableColumn id="8" xr3:uid="{00000000-0010-0000-0800-000008000000}" name="Weighted count"/>
    <tableColumn id="9" xr3:uid="{0C71F5CE-7AD0-495A-AC40-E623D77FEC0A}" name="Notes"/>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7" displayName="table_7" ref="A10:I100" totalsRowShown="0">
  <tableColumns count="9">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 id="9" xr3:uid="{76CBAF17-8EBD-465B-9A34-70E41C26F388}" name="Notes"/>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1577E-0560-460D-835E-48BA07931D89}" name="table_52" displayName="table_52" ref="A10:D25" totalsRowShown="0" headerRowDxfId="3" headerRowBorderDxfId="2" tableBorderDxfId="1" headerRowCellStyle="Normal 5">
  <tableColumns count="4">
    <tableColumn id="1" xr3:uid="{B300B547-BC92-4E13-9D09-55AE465C2322}" name="Percentage of adults reporting they strongly agree or agree that artificial intelligence (AI) will benefit them " dataDxfId="0" dataCellStyle="Normal 5"/>
    <tableColumn id="2" xr3:uid="{5EF4E50F-3C49-4C3F-8708-AAF09CD4033B}" name="All_x000a_persons _x000a_%"/>
    <tableColumn id="3" xr3:uid="{79F0DCF0-BF4F-480C-9F54-5839B460F8E0}" name="All_x000a_persons_x000a_LCL"/>
    <tableColumn id="4" xr3:uid="{45B326E7-5AAC-49D6-9C33-7B017A179757}" name="All _x000a_persons_x000a_UC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healthandsocialcare/healthandlifeexpectancies/methodologies/opinionsandlifestylesurveyqmi" TargetMode="External"/><Relationship Id="rId3" Type="http://schemas.openxmlformats.org/officeDocument/2006/relationships/hyperlink" Target="mailto:Media.Relations@ons.gov.uk" TargetMode="External"/><Relationship Id="rId7" Type="http://schemas.openxmlformats.org/officeDocument/2006/relationships/hyperlink" Target="https://beta.ukdataservice.ac.uk/datacatalogue/studies/study?id=8635"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peoplepopulationandcommunity/wellbeing/bulletins/publicopinionsandsocialtrendsgreatbritain/August2025" TargetMode="External"/><Relationship Id="rId6" Type="http://schemas.openxmlformats.org/officeDocument/2006/relationships/hyperlink" Target="https://analysisfunction.civilservice.gov.uk/policy-store/symbols-in-tables-definitions-and-help/" TargetMode="External"/><Relationship Id="rId5"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hyperlink" Target="https://www.ons.gov.uk/peoplepopulationandcommunity/wellbeing/datasets/opinionsandlifestylesurveysamplesizesresponseratesanduserrequesteddata"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businessindustryandtrade/itandinternetindustry/datasets/artificialintelligenceaiawarenessuseandimpactgreatbritain" TargetMode="External"/><Relationship Id="rId7" Type="http://schemas.openxmlformats.org/officeDocument/2006/relationships/table" Target="../tables/table2.xml"/><Relationship Id="rId2" Type="http://schemas.openxmlformats.org/officeDocument/2006/relationships/hyperlink" Target="https://www.ons.gov.uk/businessindustryandtrade/itandinternetindustry/articles/publicawarenessopinionsandexpectationsaboutartificialintelligence/julytooctober2023" TargetMode="External"/><Relationship Id="rId1" Type="http://schemas.openxmlformats.org/officeDocument/2006/relationships/hyperlink" Target="https://www.ons.gov.uk/businessindustryandtrade/itandinternetindustry/articles/understandingaiuptakeandsentimentamongpeopleandbusinessesintheuk/june2023" TargetMode="External"/><Relationship Id="rId6" Type="http://schemas.openxmlformats.org/officeDocument/2006/relationships/hyperlink" Target="https://www.ons.gov.uk/businessindustryandtrade/itandinternetindustry/datasets/publicawarenessopinionsandexpectationsaboutartificialintelligence" TargetMode="External"/><Relationship Id="rId5" Type="http://schemas.openxmlformats.org/officeDocument/2006/relationships/hyperlink" Target="https://www.ons.gov.uk/peoplepopulationandcommunity/wellbeing/bulletins/publicopinionsandsocialtrendsgreatbritain/august2024" TargetMode="External"/><Relationship Id="rId4" Type="http://schemas.openxmlformats.org/officeDocument/2006/relationships/hyperlink" Target="https://www.ons.gov.uk/businessindustryandtrade/itandinternetindustry/datasets/publicawarenessopinionsandexpectationsaboutartificialintelligence"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heetViews>
  <sheetFormatPr defaultColWidth="11.54296875" defaultRowHeight="15" x14ac:dyDescent="0.25"/>
  <cols>
    <col min="1" max="1" width="72.6328125" customWidth="1"/>
  </cols>
  <sheetData>
    <row r="1" spans="1:1" ht="42" x14ac:dyDescent="0.4">
      <c r="A1" s="2" t="s">
        <v>0</v>
      </c>
    </row>
    <row r="2" spans="1:1" x14ac:dyDescent="0.25">
      <c r="A2" t="s">
        <v>1</v>
      </c>
    </row>
    <row r="3" spans="1:1" x14ac:dyDescent="0.25">
      <c r="A3" s="19" t="s">
        <v>2</v>
      </c>
    </row>
    <row r="4" spans="1:1" x14ac:dyDescent="0.25">
      <c r="A4" t="s">
        <v>3</v>
      </c>
    </row>
    <row r="5" spans="1:1" x14ac:dyDescent="0.25">
      <c r="A5" s="1" t="s">
        <v>4</v>
      </c>
    </row>
    <row r="6" spans="1:1" ht="33.9" customHeight="1" x14ac:dyDescent="0.3">
      <c r="A6" s="4" t="s">
        <v>5</v>
      </c>
    </row>
    <row r="7" spans="1:1" x14ac:dyDescent="0.25">
      <c r="A7" s="19" t="s">
        <v>6</v>
      </c>
    </row>
    <row r="8" spans="1:1" x14ac:dyDescent="0.25">
      <c r="A8" s="1" t="s">
        <v>7</v>
      </c>
    </row>
    <row r="9" spans="1:1" ht="33.9" customHeight="1" x14ac:dyDescent="0.3">
      <c r="A9" s="4" t="s">
        <v>8</v>
      </c>
    </row>
    <row r="10" spans="1:1" x14ac:dyDescent="0.25">
      <c r="A10" s="34" t="s">
        <v>9</v>
      </c>
    </row>
    <row r="11" spans="1:1" x14ac:dyDescent="0.25">
      <c r="A11" s="1" t="s">
        <v>10</v>
      </c>
    </row>
    <row r="12" spans="1:1" ht="33.9" customHeight="1" x14ac:dyDescent="0.3">
      <c r="A12" s="4" t="s">
        <v>11</v>
      </c>
    </row>
    <row r="13" spans="1:1" ht="112.95" customHeight="1" x14ac:dyDescent="0.25">
      <c r="A13" s="19" t="s">
        <v>12</v>
      </c>
    </row>
    <row r="14" spans="1:1" ht="33.9" customHeight="1" x14ac:dyDescent="0.3">
      <c r="A14" s="4" t="s">
        <v>13</v>
      </c>
    </row>
    <row r="15" spans="1:1" ht="165" x14ac:dyDescent="0.25">
      <c r="A15" s="19" t="s">
        <v>14</v>
      </c>
    </row>
    <row r="16" spans="1:1" x14ac:dyDescent="0.25">
      <c r="A16" s="16" t="s">
        <v>15</v>
      </c>
    </row>
    <row r="17" spans="1:1" ht="33.9" customHeight="1" x14ac:dyDescent="0.3">
      <c r="A17" s="4" t="s">
        <v>16</v>
      </c>
    </row>
    <row r="18" spans="1:1" ht="195" x14ac:dyDescent="0.25">
      <c r="A18" s="19" t="s">
        <v>17</v>
      </c>
    </row>
    <row r="19" spans="1:1" ht="33.9" customHeight="1" x14ac:dyDescent="0.3">
      <c r="A19" s="4" t="s">
        <v>18</v>
      </c>
    </row>
    <row r="20" spans="1:1" ht="60" x14ac:dyDescent="0.25">
      <c r="A20" s="19" t="s">
        <v>19</v>
      </c>
    </row>
    <row r="21" spans="1:1" x14ac:dyDescent="0.25">
      <c r="A21" s="1" t="s">
        <v>20</v>
      </c>
    </row>
    <row r="22" spans="1:1" ht="33.9" customHeight="1" x14ac:dyDescent="0.3">
      <c r="A22" s="4" t="s">
        <v>21</v>
      </c>
    </row>
    <row r="23" spans="1:1" ht="60" x14ac:dyDescent="0.25">
      <c r="A23" s="19" t="s">
        <v>22</v>
      </c>
    </row>
    <row r="24" spans="1:1" ht="33.9" customHeight="1" x14ac:dyDescent="0.3">
      <c r="A24" s="4" t="s">
        <v>23</v>
      </c>
    </row>
    <row r="25" spans="1:1" ht="30" x14ac:dyDescent="0.25">
      <c r="A25" s="19" t="s">
        <v>24</v>
      </c>
    </row>
    <row r="26" spans="1:1" ht="33.9" customHeight="1" x14ac:dyDescent="0.3">
      <c r="A26" s="4" t="s">
        <v>25</v>
      </c>
    </row>
    <row r="27" spans="1:1" ht="45" x14ac:dyDescent="0.25">
      <c r="A27" s="19" t="s">
        <v>26</v>
      </c>
    </row>
    <row r="28" spans="1:1" ht="33.9" customHeight="1" x14ac:dyDescent="0.3">
      <c r="A28" s="4" t="s">
        <v>27</v>
      </c>
    </row>
    <row r="29" spans="1:1" ht="45" x14ac:dyDescent="0.25">
      <c r="A29" s="19" t="s">
        <v>28</v>
      </c>
    </row>
    <row r="30" spans="1:1" ht="33.9" customHeight="1" x14ac:dyDescent="0.3">
      <c r="A30" s="4" t="s">
        <v>29</v>
      </c>
    </row>
    <row r="31" spans="1:1" ht="345" x14ac:dyDescent="0.25">
      <c r="A31" s="19" t="s">
        <v>30</v>
      </c>
    </row>
    <row r="32" spans="1:1" x14ac:dyDescent="0.25">
      <c r="A32" s="1" t="s">
        <v>31</v>
      </c>
    </row>
    <row r="33" spans="1:1" ht="33.9" customHeight="1" x14ac:dyDescent="0.3">
      <c r="A33" s="4" t="s">
        <v>32</v>
      </c>
    </row>
    <row r="34" spans="1:1" x14ac:dyDescent="0.25">
      <c r="A34" s="19" t="s">
        <v>33</v>
      </c>
    </row>
    <row r="35" spans="1:1" x14ac:dyDescent="0.25">
      <c r="A35" s="1" t="s">
        <v>34</v>
      </c>
    </row>
    <row r="36" spans="1:1" ht="33.9" customHeight="1" x14ac:dyDescent="0.3">
      <c r="A36" s="4" t="s">
        <v>35</v>
      </c>
    </row>
    <row r="37" spans="1:1" x14ac:dyDescent="0.25">
      <c r="A37" s="1" t="s">
        <v>36</v>
      </c>
    </row>
  </sheetData>
  <hyperlinks>
    <hyperlink ref="A5" r:id="rId1" xr:uid="{00000000-0004-0000-0000-000000000000}"/>
    <hyperlink ref="A8" r:id="rId2" xr:uid="{00000000-0004-0000-0000-000001000000}"/>
    <hyperlink ref="A11" r:id="rId3" xr:uid="{00000000-0004-0000-0000-000002000000}"/>
    <hyperlink ref="A16" r:id="rId4" xr:uid="{00000000-0004-0000-0000-000003000000}"/>
    <hyperlink ref="A21" r:id="rId5" location="methods-used-to-produce-the-opinions-and-lifestyle-survey-opn-data" xr:uid="{00000000-0004-0000-0000-000004000000}"/>
    <hyperlink ref="A32" r:id="rId6" xr:uid="{00000000-0004-0000-0000-000005000000}"/>
    <hyperlink ref="A35" r:id="rId7" xr:uid="{00000000-0004-0000-0000-000006000000}"/>
    <hyperlink ref="A37" r:id="rId8" xr:uid="{00000000-0004-0000-0000-000007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sheetViews>
  <sheetFormatPr defaultColWidth="11.54296875" defaultRowHeight="15" x14ac:dyDescent="0.25"/>
  <cols>
    <col min="1" max="1" width="29.1796875" customWidth="1"/>
    <col min="2" max="2" width="56.6328125" customWidth="1"/>
    <col min="3" max="3" width="34.90625" customWidth="1"/>
  </cols>
  <sheetData>
    <row r="1" spans="1:5" ht="21" x14ac:dyDescent="0.4">
      <c r="A1" s="5" t="s">
        <v>37</v>
      </c>
    </row>
    <row r="2" spans="1:5" x14ac:dyDescent="0.25">
      <c r="A2" t="s">
        <v>38</v>
      </c>
    </row>
    <row r="3" spans="1:5" ht="15.6" x14ac:dyDescent="0.3">
      <c r="A3" s="7" t="s">
        <v>39</v>
      </c>
      <c r="B3" s="7" t="s">
        <v>40</v>
      </c>
      <c r="C3" s="7" t="s">
        <v>41</v>
      </c>
    </row>
    <row r="4" spans="1:5" x14ac:dyDescent="0.25">
      <c r="A4" s="20" t="s">
        <v>42</v>
      </c>
      <c r="B4" s="6" t="s">
        <v>43</v>
      </c>
      <c r="C4" s="16" t="str">
        <f>HYPERLINK("#'Cover'!A1", "Link to Cover")</f>
        <v>Link to Cover</v>
      </c>
    </row>
    <row r="5" spans="1:5" x14ac:dyDescent="0.25">
      <c r="A5" s="20" t="s">
        <v>44</v>
      </c>
      <c r="B5" s="6" t="s">
        <v>44</v>
      </c>
      <c r="C5" s="16" t="str">
        <f>HYPERLINK("#'Contents'!A1", "Link to Contents")</f>
        <v>Link to Contents</v>
      </c>
    </row>
    <row r="6" spans="1:5" x14ac:dyDescent="0.25">
      <c r="A6" s="20" t="s">
        <v>45</v>
      </c>
      <c r="B6" s="6" t="s">
        <v>46</v>
      </c>
      <c r="C6" s="16" t="str">
        <f>HYPERLINK("#'Previous_data_and_publications'!A1", "Link to Previous_data_and_publications")</f>
        <v>Link to Previous_data_and_publications</v>
      </c>
    </row>
    <row r="7" spans="1:5" x14ac:dyDescent="0.25">
      <c r="A7" s="20" t="s">
        <v>47</v>
      </c>
      <c r="B7" s="6" t="s">
        <v>47</v>
      </c>
      <c r="C7" s="16" t="str">
        <f>HYPERLINK("#'Notes'!A1", "Link to Notes")</f>
        <v>Link to Notes</v>
      </c>
    </row>
    <row r="8" spans="1:5" ht="36" customHeight="1" x14ac:dyDescent="0.25">
      <c r="A8" s="20" t="s">
        <v>48</v>
      </c>
      <c r="B8" s="6" t="s">
        <v>49</v>
      </c>
      <c r="C8" s="16" t="str">
        <f>HYPERLINK("#'Table_1'!A1", "Link to Table_1")</f>
        <v>Link to Table_1</v>
      </c>
    </row>
    <row r="9" spans="1:5" ht="46.2" customHeight="1" x14ac:dyDescent="0.25">
      <c r="A9" s="20" t="s">
        <v>50</v>
      </c>
      <c r="B9" s="6" t="s">
        <v>51</v>
      </c>
      <c r="C9" s="16" t="str">
        <f>HYPERLINK("#'Table_2'!A1", "Link to Table_2")</f>
        <v>Link to Table_2</v>
      </c>
    </row>
    <row r="10" spans="1:5" ht="33" customHeight="1" x14ac:dyDescent="0.25">
      <c r="A10" s="20" t="s">
        <v>52</v>
      </c>
      <c r="B10" s="6" t="s">
        <v>53</v>
      </c>
      <c r="C10" s="16" t="str">
        <f>HYPERLINK("#'Table_3'!A1", "Link to Table_3")</f>
        <v>Link to Table_3</v>
      </c>
      <c r="E10" s="6"/>
    </row>
    <row r="11" spans="1:5" ht="43.95" customHeight="1" x14ac:dyDescent="0.25">
      <c r="A11" s="20" t="s">
        <v>54</v>
      </c>
      <c r="B11" s="61" t="s">
        <v>55</v>
      </c>
      <c r="C11" s="16" t="str">
        <f>HYPERLINK("#'Table_4'!A1", "Link to Table_4")</f>
        <v>Link to Table_4</v>
      </c>
    </row>
    <row r="12" spans="1:5" ht="37.200000000000003" customHeight="1" x14ac:dyDescent="0.25">
      <c r="A12" s="20" t="s">
        <v>56</v>
      </c>
      <c r="B12" s="6" t="s">
        <v>57</v>
      </c>
      <c r="C12" s="59" t="str">
        <f>HYPERLINK("#'Table_5'!A1", "Link to Table_5")</f>
        <v>Link to Table_5</v>
      </c>
    </row>
    <row r="13" spans="1:5" ht="49.95" customHeight="1" x14ac:dyDescent="0.25">
      <c r="A13" s="20" t="s">
        <v>58</v>
      </c>
      <c r="B13" s="61" t="s">
        <v>59</v>
      </c>
      <c r="C13" s="59" t="str">
        <f>HYPERLINK("#'Table_6'!A1", "Link to Table_6")</f>
        <v>Link to Table_6</v>
      </c>
    </row>
    <row r="14" spans="1:5" ht="30" x14ac:dyDescent="0.25">
      <c r="A14" t="s">
        <v>60</v>
      </c>
      <c r="B14" s="3" t="s">
        <v>61</v>
      </c>
      <c r="C14" s="58" t="str">
        <f>HYPERLINK("#'Table_7'!A1", "Link to Table_7")</f>
        <v>Link to Table_7</v>
      </c>
    </row>
  </sheetData>
  <hyperlinks>
    <hyperlink ref="C14" location="Table_7!R1C1" display="Table_7!R1C1" xr:uid="{55DF35C9-3F1E-4184-96C4-BA9F26267CA7}"/>
  </hyperlinks>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ColWidth="11.54296875" defaultRowHeight="15" x14ac:dyDescent="0.25"/>
  <cols>
    <col min="1" max="1" width="35.6328125" customWidth="1"/>
    <col min="2" max="2" width="62.6328125" customWidth="1"/>
    <col min="3" max="3" width="53.6328125" customWidth="1"/>
  </cols>
  <sheetData>
    <row r="1" spans="1:3" ht="21" x14ac:dyDescent="0.4">
      <c r="A1" s="5" t="s">
        <v>46</v>
      </c>
    </row>
    <row r="2" spans="1:3" x14ac:dyDescent="0.25">
      <c r="A2" t="s">
        <v>38</v>
      </c>
    </row>
    <row r="3" spans="1:3" x14ac:dyDescent="0.25">
      <c r="A3" t="s">
        <v>62</v>
      </c>
    </row>
    <row r="4" spans="1:3" x14ac:dyDescent="0.25">
      <c r="A4" s="11" t="str">
        <f>HYPERLINK("#'Contents'!A1", "Return to table of contents")</f>
        <v>Return to table of contents</v>
      </c>
    </row>
    <row r="5" spans="1:3" ht="15.6" x14ac:dyDescent="0.3">
      <c r="A5" s="12" t="s">
        <v>63</v>
      </c>
      <c r="B5" s="12" t="s">
        <v>64</v>
      </c>
      <c r="C5" s="12" t="s">
        <v>65</v>
      </c>
    </row>
    <row r="6" spans="1:3" ht="30.75" customHeight="1" x14ac:dyDescent="0.25">
      <c r="A6" s="13" t="s">
        <v>66</v>
      </c>
      <c r="B6" s="69" t="str">
        <f>HYPERLINK("https://www.ons.gov.uk/peoplepopulationandcommunity/wellbeing/datasets/publicopinionsandsocialtrendsgreatbritainartificialintelligenceai", "Public opinions and social trends, Great Britain, artificial intelligence")</f>
        <v>Public opinions and social trends, Great Britain, artificial intelligence</v>
      </c>
      <c r="C6" s="14" t="str">
        <f>HYPERLINK("https://www.ons.gov.uk/peoplepopulationandcommunity/wellbeing/bulletins/publicopinionsandsocialtrendsgreatbritain/previousReleases", "Public opinions and social trends, Great Britain")</f>
        <v>Public opinions and social trends, Great Britain</v>
      </c>
    </row>
    <row r="7" spans="1:3" ht="30" x14ac:dyDescent="0.25">
      <c r="A7" s="20" t="s">
        <v>67</v>
      </c>
      <c r="B7" s="64" t="s">
        <v>68</v>
      </c>
      <c r="C7" s="64" t="s">
        <v>69</v>
      </c>
    </row>
    <row r="8" spans="1:3" ht="30" x14ac:dyDescent="0.25">
      <c r="A8" s="67" t="s">
        <v>70</v>
      </c>
      <c r="B8" s="64" t="s">
        <v>68</v>
      </c>
      <c r="C8" s="64" t="s">
        <v>71</v>
      </c>
    </row>
    <row r="9" spans="1:3" ht="30" x14ac:dyDescent="0.25">
      <c r="A9" s="67" t="s">
        <v>72</v>
      </c>
      <c r="B9" s="65" t="s">
        <v>73</v>
      </c>
      <c r="C9" s="64" t="s">
        <v>74</v>
      </c>
    </row>
  </sheetData>
  <hyperlinks>
    <hyperlink ref="C9" r:id="rId1" xr:uid="{B80CA05E-0C3C-48F6-96C2-F1C13BD5096A}"/>
    <hyperlink ref="C8" r:id="rId2" display="https://www.ons.gov.uk/businessindustryandtrade/itandinternetindustry/articles/publicawarenessopinionsandexpectationsaboutartificialintelligence/julytooctober2023" xr:uid="{22EA9CBA-D291-4E88-A3DF-540CAD501864}"/>
    <hyperlink ref="B9" r:id="rId3" xr:uid="{82531937-4816-4CFC-8943-8FE4D17DD990}"/>
    <hyperlink ref="B8" r:id="rId4" xr:uid="{980EDF10-A7F9-45EE-8592-DA45D5ADD474}"/>
    <hyperlink ref="C7" r:id="rId5" xr:uid="{2B042260-4FDE-4A0B-9A2A-92E6741B5F31}"/>
    <hyperlink ref="B7" r:id="rId6" xr:uid="{A951B6AE-F06B-4A92-A621-7AD7FCF928B1}"/>
  </hyperlinks>
  <pageMargins left="0.7" right="0.7" top="0.75" bottom="0.75" header="0.3" footer="0.3"/>
  <pageSetup paperSize="9" orientation="portrait" horizontalDpi="300" verticalDpi="300"/>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
  <sheetViews>
    <sheetView zoomScaleNormal="100" workbookViewId="0"/>
  </sheetViews>
  <sheetFormatPr defaultColWidth="11.54296875" defaultRowHeight="15" x14ac:dyDescent="0.25"/>
  <cols>
    <col min="1" max="1" width="16.6328125" customWidth="1"/>
    <col min="2" max="2" width="56.6328125" customWidth="1"/>
  </cols>
  <sheetData>
    <row r="1" spans="1:5" ht="21" x14ac:dyDescent="0.4">
      <c r="A1" s="5" t="s">
        <v>75</v>
      </c>
    </row>
    <row r="2" spans="1:5" x14ac:dyDescent="0.25">
      <c r="A2" t="s">
        <v>76</v>
      </c>
    </row>
    <row r="3" spans="1:5" x14ac:dyDescent="0.25">
      <c r="A3" t="s">
        <v>77</v>
      </c>
    </row>
    <row r="4" spans="1:5" x14ac:dyDescent="0.25">
      <c r="A4" t="s">
        <v>78</v>
      </c>
    </row>
    <row r="5" spans="1:5" x14ac:dyDescent="0.25">
      <c r="A5" s="11" t="str">
        <f>HYPERLINK("#'Contents'!A1", "Return to table of contents")</f>
        <v>Return to table of contents</v>
      </c>
    </row>
    <row r="6" spans="1:5" ht="15.6" x14ac:dyDescent="0.3">
      <c r="A6" s="23" t="s">
        <v>79</v>
      </c>
    </row>
    <row r="7" spans="1:5" ht="15.6" x14ac:dyDescent="0.3">
      <c r="A7" s="7" t="s">
        <v>80</v>
      </c>
      <c r="B7" s="7" t="s">
        <v>81</v>
      </c>
    </row>
    <row r="8" spans="1:5" ht="228" customHeight="1" x14ac:dyDescent="0.25">
      <c r="A8" s="18">
        <v>1</v>
      </c>
      <c r="B8" s="66" t="s">
        <v>82</v>
      </c>
    </row>
    <row r="9" spans="1:5" ht="45" x14ac:dyDescent="0.25">
      <c r="A9" s="18">
        <v>2</v>
      </c>
      <c r="B9" s="6" t="s">
        <v>83</v>
      </c>
    </row>
    <row r="10" spans="1:5" ht="19.5" customHeight="1" x14ac:dyDescent="0.25">
      <c r="A10" s="18">
        <v>3</v>
      </c>
      <c r="B10" s="6" t="s">
        <v>84</v>
      </c>
    </row>
    <row r="11" spans="1:5" ht="47.25" customHeight="1" x14ac:dyDescent="0.25">
      <c r="A11">
        <v>4</v>
      </c>
      <c r="B11" s="6" t="s">
        <v>85</v>
      </c>
    </row>
    <row r="12" spans="1:5" ht="51.75" customHeight="1" x14ac:dyDescent="0.25">
      <c r="A12">
        <v>5</v>
      </c>
      <c r="B12" s="6" t="s">
        <v>199</v>
      </c>
    </row>
    <row r="14" spans="1:5" ht="15.6" x14ac:dyDescent="0.3">
      <c r="A14" s="23" t="s">
        <v>86</v>
      </c>
      <c r="B14" s="24"/>
      <c r="C14" s="13"/>
      <c r="D14" s="13"/>
    </row>
    <row r="15" spans="1:5" ht="62.4" x14ac:dyDescent="0.25">
      <c r="A15" s="25" t="s">
        <v>87</v>
      </c>
      <c r="B15" s="25" t="s">
        <v>88</v>
      </c>
      <c r="C15" s="25" t="s">
        <v>89</v>
      </c>
      <c r="D15" s="25" t="s">
        <v>90</v>
      </c>
      <c r="E15" s="25"/>
    </row>
    <row r="16" spans="1:5" ht="409.6" x14ac:dyDescent="0.25">
      <c r="A16" s="26" t="s">
        <v>91</v>
      </c>
      <c r="B16" s="27"/>
      <c r="C16" s="28" t="s">
        <v>92</v>
      </c>
      <c r="D16" s="13"/>
    </row>
    <row r="17" spans="1:4" ht="30" x14ac:dyDescent="0.25">
      <c r="A17" s="26" t="s">
        <v>93</v>
      </c>
      <c r="B17" s="27"/>
      <c r="C17" s="13"/>
      <c r="D17" s="13"/>
    </row>
    <row r="18" spans="1:4" ht="30" x14ac:dyDescent="0.25">
      <c r="A18" s="29" t="s">
        <v>94</v>
      </c>
      <c r="B18" s="6" t="s">
        <v>95</v>
      </c>
      <c r="C18" s="13"/>
      <c r="D18" s="13"/>
    </row>
    <row r="19" spans="1:4" ht="30" x14ac:dyDescent="0.25">
      <c r="A19" s="26" t="s">
        <v>96</v>
      </c>
      <c r="B19" s="27" t="s">
        <v>97</v>
      </c>
      <c r="C19" s="13"/>
      <c r="D19" s="13"/>
    </row>
    <row r="20" spans="1:4" ht="30" x14ac:dyDescent="0.25">
      <c r="A20" s="26" t="s">
        <v>98</v>
      </c>
      <c r="B20" s="27" t="s">
        <v>99</v>
      </c>
      <c r="C20" s="13"/>
      <c r="D20" s="13"/>
    </row>
    <row r="21" spans="1:4" ht="409.6" x14ac:dyDescent="0.25">
      <c r="A21" s="26" t="s">
        <v>100</v>
      </c>
      <c r="B21" s="27"/>
      <c r="C21" s="30" t="s">
        <v>101</v>
      </c>
      <c r="D21" s="13"/>
    </row>
    <row r="22" spans="1:4" x14ac:dyDescent="0.25">
      <c r="A22" s="26" t="s">
        <v>102</v>
      </c>
      <c r="B22" s="31"/>
      <c r="C22" s="13"/>
      <c r="D22" s="13"/>
    </row>
    <row r="23" spans="1:4" ht="60" x14ac:dyDescent="0.25">
      <c r="A23" s="26" t="s">
        <v>103</v>
      </c>
      <c r="B23" s="27" t="s">
        <v>104</v>
      </c>
      <c r="C23" s="13"/>
      <c r="D23" s="13"/>
    </row>
    <row r="24" spans="1:4" x14ac:dyDescent="0.25">
      <c r="A24" s="26" t="s">
        <v>105</v>
      </c>
      <c r="B24" s="27"/>
      <c r="C24" s="13"/>
      <c r="D24" s="13"/>
    </row>
    <row r="25" spans="1:4" ht="30" x14ac:dyDescent="0.25">
      <c r="A25" s="26" t="s">
        <v>106</v>
      </c>
      <c r="B25" s="31"/>
      <c r="C25" s="13"/>
      <c r="D25" s="13"/>
    </row>
    <row r="26" spans="1:4" ht="105" x14ac:dyDescent="0.25">
      <c r="A26" s="32" t="s">
        <v>107</v>
      </c>
      <c r="B26" s="27" t="s">
        <v>108</v>
      </c>
      <c r="C26" s="30"/>
      <c r="D26" s="30"/>
    </row>
    <row r="27" spans="1:4" ht="30" x14ac:dyDescent="0.25">
      <c r="A27" s="26" t="s">
        <v>109</v>
      </c>
      <c r="B27" s="13" t="s">
        <v>110</v>
      </c>
      <c r="C27" s="28"/>
      <c r="D27" s="28"/>
    </row>
    <row r="28" spans="1:4" ht="75" x14ac:dyDescent="0.25">
      <c r="A28" s="26" t="s">
        <v>111</v>
      </c>
      <c r="B28" s="19" t="s">
        <v>112</v>
      </c>
      <c r="C28" s="28"/>
      <c r="D28" s="28"/>
    </row>
    <row r="29" spans="1:4" ht="409.6" x14ac:dyDescent="0.25">
      <c r="A29" s="32" t="s">
        <v>113</v>
      </c>
      <c r="B29" s="33" t="s">
        <v>114</v>
      </c>
      <c r="C29" s="28" t="s">
        <v>115</v>
      </c>
    </row>
    <row r="30" spans="1:4" ht="30" x14ac:dyDescent="0.25">
      <c r="A30" s="26" t="s">
        <v>116</v>
      </c>
      <c r="B30" s="31"/>
      <c r="C30" s="28"/>
      <c r="D30" s="28"/>
    </row>
  </sheetData>
  <pageMargins left="0.7" right="0.7" top="0.75" bottom="0.75" header="0.3" footer="0.3"/>
  <pageSetup paperSize="9" orientation="portrait" horizontalDpi="300"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0"/>
  <sheetViews>
    <sheetView workbookViewId="0"/>
  </sheetViews>
  <sheetFormatPr defaultColWidth="11.54296875" defaultRowHeight="15" x14ac:dyDescent="0.25"/>
  <cols>
    <col min="1" max="2" width="13.1796875" customWidth="1"/>
    <col min="3" max="3" width="34.6328125" customWidth="1"/>
    <col min="4" max="9" width="16.6328125" customWidth="1"/>
  </cols>
  <sheetData>
    <row r="1" spans="1:9" ht="21" x14ac:dyDescent="0.4">
      <c r="A1" s="5" t="s">
        <v>117</v>
      </c>
    </row>
    <row r="2" spans="1:9" ht="16.8" x14ac:dyDescent="0.3">
      <c r="A2" s="22" t="s">
        <v>118</v>
      </c>
    </row>
    <row r="3" spans="1:9" x14ac:dyDescent="0.25">
      <c r="A3" t="s">
        <v>38</v>
      </c>
    </row>
    <row r="4" spans="1:9" x14ac:dyDescent="0.25">
      <c r="A4" t="s">
        <v>119</v>
      </c>
    </row>
    <row r="5" spans="1:9" x14ac:dyDescent="0.25">
      <c r="A5" t="s">
        <v>120</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121</v>
      </c>
    </row>
    <row r="9" spans="1:9" ht="15.6" x14ac:dyDescent="0.3">
      <c r="A9" s="12" t="s">
        <v>122</v>
      </c>
    </row>
    <row r="10" spans="1:9" ht="15.6" x14ac:dyDescent="0.3">
      <c r="A10" s="12" t="s">
        <v>1</v>
      </c>
    </row>
    <row r="11" spans="1:9" ht="31.2" x14ac:dyDescent="0.3">
      <c r="A11" s="9" t="s">
        <v>123</v>
      </c>
      <c r="B11" s="9" t="s">
        <v>124</v>
      </c>
      <c r="C11" s="9" t="s">
        <v>125</v>
      </c>
      <c r="D11" s="10" t="s">
        <v>126</v>
      </c>
      <c r="E11" s="10" t="s">
        <v>127</v>
      </c>
      <c r="F11" s="10" t="s">
        <v>128</v>
      </c>
      <c r="G11" s="10" t="s">
        <v>21</v>
      </c>
      <c r="H11" s="10" t="s">
        <v>18</v>
      </c>
      <c r="I11" s="9" t="s">
        <v>47</v>
      </c>
    </row>
    <row r="12" spans="1:9" x14ac:dyDescent="0.25">
      <c r="A12" s="3" t="s">
        <v>129</v>
      </c>
      <c r="B12" s="3" t="s">
        <v>130</v>
      </c>
      <c r="C12" s="3" t="s">
        <v>131</v>
      </c>
      <c r="D12" s="8">
        <v>8</v>
      </c>
      <c r="E12" s="21">
        <v>6</v>
      </c>
      <c r="F12" s="21">
        <v>9</v>
      </c>
      <c r="G12" s="15">
        <v>3290</v>
      </c>
      <c r="H12" s="15">
        <v>54612193</v>
      </c>
      <c r="I12" s="3"/>
    </row>
    <row r="13" spans="1:9" x14ac:dyDescent="0.25">
      <c r="A13" s="3" t="s">
        <v>129</v>
      </c>
      <c r="B13" s="3" t="s">
        <v>130</v>
      </c>
      <c r="C13" s="3" t="s">
        <v>132</v>
      </c>
      <c r="D13" s="8">
        <v>33</v>
      </c>
      <c r="E13" s="21">
        <v>31</v>
      </c>
      <c r="F13" s="21">
        <v>36</v>
      </c>
      <c r="G13" s="15">
        <v>3290</v>
      </c>
      <c r="H13" s="15">
        <v>54612193</v>
      </c>
      <c r="I13" s="3"/>
    </row>
    <row r="14" spans="1:9" x14ac:dyDescent="0.25">
      <c r="A14" s="3" t="s">
        <v>129</v>
      </c>
      <c r="B14" s="3" t="s">
        <v>130</v>
      </c>
      <c r="C14" s="3" t="s">
        <v>133</v>
      </c>
      <c r="D14" s="8">
        <v>39</v>
      </c>
      <c r="E14" s="21">
        <v>37</v>
      </c>
      <c r="F14" s="21">
        <v>42</v>
      </c>
      <c r="G14" s="15">
        <v>3290</v>
      </c>
      <c r="H14" s="15">
        <v>54612193</v>
      </c>
      <c r="I14" s="3"/>
    </row>
    <row r="15" spans="1:9" x14ac:dyDescent="0.25">
      <c r="A15" s="3" t="s">
        <v>129</v>
      </c>
      <c r="B15" s="3" t="s">
        <v>130</v>
      </c>
      <c r="C15" s="3" t="s">
        <v>134</v>
      </c>
      <c r="D15" s="8">
        <v>14</v>
      </c>
      <c r="E15" s="21">
        <v>12</v>
      </c>
      <c r="F15" s="21">
        <v>16</v>
      </c>
      <c r="G15" s="15">
        <v>3290</v>
      </c>
      <c r="H15" s="15">
        <v>54612193</v>
      </c>
      <c r="I15" s="3"/>
    </row>
    <row r="16" spans="1:9" x14ac:dyDescent="0.25">
      <c r="A16" s="3" t="s">
        <v>129</v>
      </c>
      <c r="B16" s="3" t="s">
        <v>130</v>
      </c>
      <c r="C16" s="3" t="s">
        <v>135</v>
      </c>
      <c r="D16" s="8">
        <v>5</v>
      </c>
      <c r="E16" s="21">
        <v>4</v>
      </c>
      <c r="F16" s="21">
        <v>6</v>
      </c>
      <c r="G16" s="15">
        <v>3290</v>
      </c>
      <c r="H16" s="15">
        <v>54612193</v>
      </c>
      <c r="I16" s="3"/>
    </row>
    <row r="17" spans="1:9" x14ac:dyDescent="0.25">
      <c r="A17" s="3" t="s">
        <v>129</v>
      </c>
      <c r="B17" s="3" t="s">
        <v>130</v>
      </c>
      <c r="C17" s="3" t="s">
        <v>136</v>
      </c>
      <c r="D17" s="8">
        <v>41</v>
      </c>
      <c r="E17" s="21">
        <v>38</v>
      </c>
      <c r="F17" s="21">
        <v>44</v>
      </c>
      <c r="G17" s="15">
        <v>3290</v>
      </c>
      <c r="H17" s="15">
        <v>54612193</v>
      </c>
      <c r="I17" s="3" t="s">
        <v>137</v>
      </c>
    </row>
    <row r="18" spans="1:9" x14ac:dyDescent="0.25">
      <c r="A18" s="3" t="s">
        <v>129</v>
      </c>
      <c r="B18" s="3" t="s">
        <v>130</v>
      </c>
      <c r="C18" s="3" t="s">
        <v>138</v>
      </c>
      <c r="D18" s="8">
        <v>20</v>
      </c>
      <c r="E18" s="21">
        <v>18</v>
      </c>
      <c r="F18" s="21">
        <v>22</v>
      </c>
      <c r="G18" s="15">
        <v>3290</v>
      </c>
      <c r="H18" s="15">
        <v>54612193</v>
      </c>
      <c r="I18" s="3" t="s">
        <v>137</v>
      </c>
    </row>
    <row r="19" spans="1:9" ht="35.4" customHeight="1" x14ac:dyDescent="0.25">
      <c r="A19" s="3" t="s">
        <v>139</v>
      </c>
      <c r="B19" s="3" t="s">
        <v>140</v>
      </c>
      <c r="C19" s="3" t="s">
        <v>131</v>
      </c>
      <c r="D19" s="8">
        <v>12</v>
      </c>
      <c r="E19" s="21">
        <v>7</v>
      </c>
      <c r="F19" s="21">
        <v>16</v>
      </c>
      <c r="G19" s="15">
        <v>230</v>
      </c>
      <c r="H19" s="15">
        <v>11335590</v>
      </c>
      <c r="I19" s="3"/>
    </row>
    <row r="20" spans="1:9" x14ac:dyDescent="0.25">
      <c r="A20" s="3" t="s">
        <v>139</v>
      </c>
      <c r="B20" s="3" t="s">
        <v>140</v>
      </c>
      <c r="C20" s="3" t="s">
        <v>132</v>
      </c>
      <c r="D20" s="8">
        <v>38</v>
      </c>
      <c r="E20" s="21">
        <v>31</v>
      </c>
      <c r="F20" s="21">
        <v>45</v>
      </c>
      <c r="G20" s="15">
        <v>230</v>
      </c>
      <c r="H20" s="15">
        <v>11335590</v>
      </c>
      <c r="I20" s="3"/>
    </row>
    <row r="21" spans="1:9" x14ac:dyDescent="0.25">
      <c r="A21" s="3" t="s">
        <v>139</v>
      </c>
      <c r="B21" s="3" t="s">
        <v>140</v>
      </c>
      <c r="C21" s="3" t="s">
        <v>133</v>
      </c>
      <c r="D21" s="8">
        <v>27</v>
      </c>
      <c r="E21" s="21">
        <v>20</v>
      </c>
      <c r="F21" s="21">
        <v>33</v>
      </c>
      <c r="G21" s="15">
        <v>230</v>
      </c>
      <c r="H21" s="15">
        <v>11335590</v>
      </c>
      <c r="I21" s="3"/>
    </row>
    <row r="22" spans="1:9" x14ac:dyDescent="0.25">
      <c r="A22" s="3" t="s">
        <v>139</v>
      </c>
      <c r="B22" s="3" t="s">
        <v>140</v>
      </c>
      <c r="C22" s="3" t="s">
        <v>134</v>
      </c>
      <c r="D22" s="8">
        <v>17</v>
      </c>
      <c r="E22" s="21">
        <v>11</v>
      </c>
      <c r="F22" s="21">
        <v>23</v>
      </c>
      <c r="G22" s="15">
        <v>230</v>
      </c>
      <c r="H22" s="15">
        <v>11335590</v>
      </c>
      <c r="I22" s="3"/>
    </row>
    <row r="23" spans="1:9" x14ac:dyDescent="0.25">
      <c r="A23" s="3" t="s">
        <v>139</v>
      </c>
      <c r="B23" s="3" t="s">
        <v>140</v>
      </c>
      <c r="C23" s="3" t="s">
        <v>135</v>
      </c>
      <c r="D23" s="8">
        <v>7</v>
      </c>
      <c r="E23" s="21">
        <v>3</v>
      </c>
      <c r="F23" s="21">
        <v>10</v>
      </c>
      <c r="G23" s="15">
        <v>230</v>
      </c>
      <c r="H23" s="15">
        <v>11335590</v>
      </c>
      <c r="I23" s="3"/>
    </row>
    <row r="24" spans="1:9" x14ac:dyDescent="0.25">
      <c r="A24" s="3" t="s">
        <v>139</v>
      </c>
      <c r="B24" s="3" t="s">
        <v>140</v>
      </c>
      <c r="C24" s="3" t="s">
        <v>136</v>
      </c>
      <c r="D24" s="8">
        <v>49</v>
      </c>
      <c r="E24" s="21">
        <v>42</v>
      </c>
      <c r="F24" s="21">
        <v>57</v>
      </c>
      <c r="G24" s="15">
        <v>230</v>
      </c>
      <c r="H24" s="15">
        <v>11335590</v>
      </c>
      <c r="I24" s="3" t="s">
        <v>137</v>
      </c>
    </row>
    <row r="25" spans="1:9" x14ac:dyDescent="0.25">
      <c r="A25" s="3" t="s">
        <v>139</v>
      </c>
      <c r="B25" s="3" t="s">
        <v>140</v>
      </c>
      <c r="C25" s="3" t="s">
        <v>138</v>
      </c>
      <c r="D25" s="8">
        <v>24</v>
      </c>
      <c r="E25" s="21">
        <v>17</v>
      </c>
      <c r="F25" s="21">
        <v>30</v>
      </c>
      <c r="G25" s="15">
        <v>230</v>
      </c>
      <c r="H25" s="15">
        <v>11335590</v>
      </c>
      <c r="I25" s="3" t="s">
        <v>137</v>
      </c>
    </row>
    <row r="26" spans="1:9" ht="35.4" customHeight="1" x14ac:dyDescent="0.25">
      <c r="A26" s="3" t="s">
        <v>139</v>
      </c>
      <c r="B26" s="3" t="s">
        <v>141</v>
      </c>
      <c r="C26" s="3" t="s">
        <v>131</v>
      </c>
      <c r="D26" s="8">
        <v>10</v>
      </c>
      <c r="E26" s="21">
        <v>7</v>
      </c>
      <c r="F26" s="21">
        <v>13</v>
      </c>
      <c r="G26" s="15">
        <v>450</v>
      </c>
      <c r="H26" s="15">
        <v>17252904</v>
      </c>
      <c r="I26" s="3"/>
    </row>
    <row r="27" spans="1:9" x14ac:dyDescent="0.25">
      <c r="A27" s="3" t="s">
        <v>139</v>
      </c>
      <c r="B27" s="3" t="s">
        <v>141</v>
      </c>
      <c r="C27" s="3" t="s">
        <v>132</v>
      </c>
      <c r="D27" s="8">
        <v>38</v>
      </c>
      <c r="E27" s="21">
        <v>33</v>
      </c>
      <c r="F27" s="21">
        <v>44</v>
      </c>
      <c r="G27" s="15">
        <v>450</v>
      </c>
      <c r="H27" s="15">
        <v>17252904</v>
      </c>
      <c r="I27" s="3"/>
    </row>
    <row r="28" spans="1:9" x14ac:dyDescent="0.25">
      <c r="A28" s="3" t="s">
        <v>139</v>
      </c>
      <c r="B28" s="3" t="s">
        <v>141</v>
      </c>
      <c r="C28" s="3" t="s">
        <v>133</v>
      </c>
      <c r="D28" s="8">
        <v>34</v>
      </c>
      <c r="E28" s="21">
        <v>29</v>
      </c>
      <c r="F28" s="21">
        <v>39</v>
      </c>
      <c r="G28" s="15">
        <v>450</v>
      </c>
      <c r="H28" s="15">
        <v>17252904</v>
      </c>
      <c r="I28" s="3"/>
    </row>
    <row r="29" spans="1:9" x14ac:dyDescent="0.25">
      <c r="A29" s="3" t="s">
        <v>139</v>
      </c>
      <c r="B29" s="3" t="s">
        <v>141</v>
      </c>
      <c r="C29" s="3" t="s">
        <v>134</v>
      </c>
      <c r="D29" s="8">
        <v>13</v>
      </c>
      <c r="E29" s="21">
        <v>9</v>
      </c>
      <c r="F29" s="21">
        <v>17</v>
      </c>
      <c r="G29" s="15">
        <v>450</v>
      </c>
      <c r="H29" s="15">
        <v>17252904</v>
      </c>
      <c r="I29" s="3"/>
    </row>
    <row r="30" spans="1:9" x14ac:dyDescent="0.25">
      <c r="A30" s="3" t="s">
        <v>139</v>
      </c>
      <c r="B30" s="3" t="s">
        <v>141</v>
      </c>
      <c r="C30" s="3" t="s">
        <v>135</v>
      </c>
      <c r="D30" s="8">
        <v>5</v>
      </c>
      <c r="E30" s="21">
        <v>3</v>
      </c>
      <c r="F30" s="21">
        <v>7</v>
      </c>
      <c r="G30" s="15">
        <v>450</v>
      </c>
      <c r="H30" s="15">
        <v>17252904</v>
      </c>
      <c r="I30" s="3"/>
    </row>
    <row r="31" spans="1:9" x14ac:dyDescent="0.25">
      <c r="A31" s="3" t="s">
        <v>139</v>
      </c>
      <c r="B31" s="3" t="s">
        <v>141</v>
      </c>
      <c r="C31" s="3" t="s">
        <v>136</v>
      </c>
      <c r="D31" s="8">
        <v>48</v>
      </c>
      <c r="E31" s="21">
        <v>43</v>
      </c>
      <c r="F31" s="21">
        <v>53</v>
      </c>
      <c r="G31" s="15">
        <v>450</v>
      </c>
      <c r="H31" s="15">
        <v>17252904</v>
      </c>
      <c r="I31" s="3" t="s">
        <v>137</v>
      </c>
    </row>
    <row r="32" spans="1:9" x14ac:dyDescent="0.25">
      <c r="A32" s="3" t="s">
        <v>139</v>
      </c>
      <c r="B32" s="3" t="s">
        <v>141</v>
      </c>
      <c r="C32" s="3" t="s">
        <v>138</v>
      </c>
      <c r="D32" s="8">
        <v>18</v>
      </c>
      <c r="E32" s="21">
        <v>14</v>
      </c>
      <c r="F32" s="21">
        <v>22</v>
      </c>
      <c r="G32" s="15">
        <v>450</v>
      </c>
      <c r="H32" s="15">
        <v>17252904</v>
      </c>
      <c r="I32" s="3" t="s">
        <v>137</v>
      </c>
    </row>
    <row r="33" spans="1:9" ht="35.4" customHeight="1" x14ac:dyDescent="0.25">
      <c r="A33" s="3" t="s">
        <v>139</v>
      </c>
      <c r="B33" s="3" t="s">
        <v>142</v>
      </c>
      <c r="C33" s="3" t="s">
        <v>131</v>
      </c>
      <c r="D33" s="8">
        <v>6</v>
      </c>
      <c r="E33" s="21">
        <v>4</v>
      </c>
      <c r="F33" s="21">
        <v>8</v>
      </c>
      <c r="G33" s="15">
        <v>1170</v>
      </c>
      <c r="H33" s="15">
        <v>16909144</v>
      </c>
      <c r="I33" s="3"/>
    </row>
    <row r="34" spans="1:9" x14ac:dyDescent="0.25">
      <c r="A34" s="3" t="s">
        <v>139</v>
      </c>
      <c r="B34" s="3" t="s">
        <v>142</v>
      </c>
      <c r="C34" s="3" t="s">
        <v>132</v>
      </c>
      <c r="D34" s="8">
        <v>30</v>
      </c>
      <c r="E34" s="21">
        <v>27</v>
      </c>
      <c r="F34" s="21">
        <v>34</v>
      </c>
      <c r="G34" s="15">
        <v>1170</v>
      </c>
      <c r="H34" s="15">
        <v>16909144</v>
      </c>
      <c r="I34" s="3"/>
    </row>
    <row r="35" spans="1:9" x14ac:dyDescent="0.25">
      <c r="A35" s="3" t="s">
        <v>139</v>
      </c>
      <c r="B35" s="3" t="s">
        <v>142</v>
      </c>
      <c r="C35" s="3" t="s">
        <v>133</v>
      </c>
      <c r="D35" s="8">
        <v>46</v>
      </c>
      <c r="E35" s="21">
        <v>42</v>
      </c>
      <c r="F35" s="21">
        <v>50</v>
      </c>
      <c r="G35" s="15">
        <v>1170</v>
      </c>
      <c r="H35" s="15">
        <v>16909144</v>
      </c>
      <c r="I35" s="3"/>
    </row>
    <row r="36" spans="1:9" x14ac:dyDescent="0.25">
      <c r="A36" s="3" t="s">
        <v>139</v>
      </c>
      <c r="B36" s="3" t="s">
        <v>142</v>
      </c>
      <c r="C36" s="3" t="s">
        <v>134</v>
      </c>
      <c r="D36" s="8">
        <v>13</v>
      </c>
      <c r="E36" s="21">
        <v>10</v>
      </c>
      <c r="F36" s="21">
        <v>15</v>
      </c>
      <c r="G36" s="15">
        <v>1170</v>
      </c>
      <c r="H36" s="15">
        <v>16909144</v>
      </c>
      <c r="I36" s="3"/>
    </row>
    <row r="37" spans="1:9" x14ac:dyDescent="0.25">
      <c r="A37" s="3" t="s">
        <v>139</v>
      </c>
      <c r="B37" s="3" t="s">
        <v>142</v>
      </c>
      <c r="C37" s="3" t="s">
        <v>135</v>
      </c>
      <c r="D37" s="8">
        <v>5</v>
      </c>
      <c r="E37" s="21">
        <v>3</v>
      </c>
      <c r="F37" s="21">
        <v>7</v>
      </c>
      <c r="G37" s="15">
        <v>1170</v>
      </c>
      <c r="H37" s="15">
        <v>16909144</v>
      </c>
      <c r="I37" s="3"/>
    </row>
    <row r="38" spans="1:9" x14ac:dyDescent="0.25">
      <c r="A38" s="3" t="s">
        <v>139</v>
      </c>
      <c r="B38" s="3" t="s">
        <v>142</v>
      </c>
      <c r="C38" s="3" t="s">
        <v>136</v>
      </c>
      <c r="D38" s="8">
        <v>36</v>
      </c>
      <c r="E38" s="21">
        <v>32</v>
      </c>
      <c r="F38" s="21">
        <v>40</v>
      </c>
      <c r="G38" s="15">
        <v>1170</v>
      </c>
      <c r="H38" s="15">
        <v>16909144</v>
      </c>
      <c r="I38" s="3" t="s">
        <v>137</v>
      </c>
    </row>
    <row r="39" spans="1:9" x14ac:dyDescent="0.25">
      <c r="A39" s="3" t="s">
        <v>139</v>
      </c>
      <c r="B39" s="3" t="s">
        <v>142</v>
      </c>
      <c r="C39" s="3" t="s">
        <v>138</v>
      </c>
      <c r="D39" s="8">
        <v>18</v>
      </c>
      <c r="E39" s="21">
        <v>15</v>
      </c>
      <c r="F39" s="21">
        <v>21</v>
      </c>
      <c r="G39" s="15">
        <v>1170</v>
      </c>
      <c r="H39" s="15">
        <v>16909144</v>
      </c>
      <c r="I39" s="3" t="s">
        <v>137</v>
      </c>
    </row>
    <row r="40" spans="1:9" ht="35.4" customHeight="1" x14ac:dyDescent="0.25">
      <c r="A40" s="3" t="s">
        <v>139</v>
      </c>
      <c r="B40" s="3" t="s">
        <v>143</v>
      </c>
      <c r="C40" s="3" t="s">
        <v>131</v>
      </c>
      <c r="D40" s="8">
        <v>3</v>
      </c>
      <c r="E40" s="21">
        <v>2</v>
      </c>
      <c r="F40" s="21">
        <v>4</v>
      </c>
      <c r="G40" s="15">
        <v>1440</v>
      </c>
      <c r="H40" s="15">
        <v>9114555</v>
      </c>
      <c r="I40" s="3"/>
    </row>
    <row r="41" spans="1:9" x14ac:dyDescent="0.25">
      <c r="A41" s="3" t="s">
        <v>139</v>
      </c>
      <c r="B41" s="3" t="s">
        <v>143</v>
      </c>
      <c r="C41" s="3" t="s">
        <v>132</v>
      </c>
      <c r="D41" s="8">
        <v>23</v>
      </c>
      <c r="E41" s="21">
        <v>20</v>
      </c>
      <c r="F41" s="21">
        <v>26</v>
      </c>
      <c r="G41" s="15">
        <v>1440</v>
      </c>
      <c r="H41" s="15">
        <v>9114555</v>
      </c>
      <c r="I41" s="3"/>
    </row>
    <row r="42" spans="1:9" x14ac:dyDescent="0.25">
      <c r="A42" s="3" t="s">
        <v>139</v>
      </c>
      <c r="B42" s="3" t="s">
        <v>143</v>
      </c>
      <c r="C42" s="3" t="s">
        <v>133</v>
      </c>
      <c r="D42" s="8">
        <v>53</v>
      </c>
      <c r="E42" s="21">
        <v>49</v>
      </c>
      <c r="F42" s="21">
        <v>56</v>
      </c>
      <c r="G42" s="15">
        <v>1440</v>
      </c>
      <c r="H42" s="15">
        <v>9114555</v>
      </c>
      <c r="I42" s="3"/>
    </row>
    <row r="43" spans="1:9" x14ac:dyDescent="0.25">
      <c r="A43" s="3" t="s">
        <v>139</v>
      </c>
      <c r="B43" s="3" t="s">
        <v>143</v>
      </c>
      <c r="C43" s="3" t="s">
        <v>134</v>
      </c>
      <c r="D43" s="8">
        <v>16</v>
      </c>
      <c r="E43" s="21">
        <v>14</v>
      </c>
      <c r="F43" s="21">
        <v>19</v>
      </c>
      <c r="G43" s="15">
        <v>1440</v>
      </c>
      <c r="H43" s="15">
        <v>9114555</v>
      </c>
      <c r="I43" s="3"/>
    </row>
    <row r="44" spans="1:9" x14ac:dyDescent="0.25">
      <c r="A44" s="3" t="s">
        <v>139</v>
      </c>
      <c r="B44" s="3" t="s">
        <v>143</v>
      </c>
      <c r="C44" s="3" t="s">
        <v>135</v>
      </c>
      <c r="D44" s="8">
        <v>5</v>
      </c>
      <c r="E44" s="21">
        <v>4</v>
      </c>
      <c r="F44" s="21">
        <v>6</v>
      </c>
      <c r="G44" s="15">
        <v>1440</v>
      </c>
      <c r="H44" s="15">
        <v>9114555</v>
      </c>
      <c r="I44" s="3"/>
    </row>
    <row r="45" spans="1:9" x14ac:dyDescent="0.25">
      <c r="A45" s="3" t="s">
        <v>139</v>
      </c>
      <c r="B45" s="3" t="s">
        <v>143</v>
      </c>
      <c r="C45" s="3" t="s">
        <v>136</v>
      </c>
      <c r="D45" s="8">
        <v>26</v>
      </c>
      <c r="E45" s="21">
        <v>23</v>
      </c>
      <c r="F45" s="21">
        <v>29</v>
      </c>
      <c r="G45" s="15">
        <v>1440</v>
      </c>
      <c r="H45" s="15">
        <v>9114555</v>
      </c>
      <c r="I45" s="3" t="s">
        <v>137</v>
      </c>
    </row>
    <row r="46" spans="1:9" x14ac:dyDescent="0.25">
      <c r="A46" s="3" t="s">
        <v>139</v>
      </c>
      <c r="B46" s="3" t="s">
        <v>143</v>
      </c>
      <c r="C46" s="3" t="s">
        <v>138</v>
      </c>
      <c r="D46" s="8">
        <v>21</v>
      </c>
      <c r="E46" s="21">
        <v>18</v>
      </c>
      <c r="F46" s="21">
        <v>24</v>
      </c>
      <c r="G46" s="15">
        <v>1440</v>
      </c>
      <c r="H46" s="15">
        <v>9114555</v>
      </c>
      <c r="I46" s="3" t="s">
        <v>137</v>
      </c>
    </row>
    <row r="47" spans="1:9" ht="35.4" customHeight="1" x14ac:dyDescent="0.25">
      <c r="A47" s="3" t="s">
        <v>144</v>
      </c>
      <c r="B47" s="3" t="s">
        <v>145</v>
      </c>
      <c r="C47" s="3" t="s">
        <v>131</v>
      </c>
      <c r="D47" s="8">
        <v>10</v>
      </c>
      <c r="E47" s="21">
        <v>7</v>
      </c>
      <c r="F47" s="21">
        <v>12</v>
      </c>
      <c r="G47" s="15">
        <v>1610</v>
      </c>
      <c r="H47" s="15">
        <v>26582143</v>
      </c>
      <c r="I47" s="3"/>
    </row>
    <row r="48" spans="1:9" x14ac:dyDescent="0.25">
      <c r="A48" s="3" t="s">
        <v>144</v>
      </c>
      <c r="B48" s="3" t="s">
        <v>145</v>
      </c>
      <c r="C48" s="3" t="s">
        <v>132</v>
      </c>
      <c r="D48" s="8">
        <v>36</v>
      </c>
      <c r="E48" s="21">
        <v>32</v>
      </c>
      <c r="F48" s="21">
        <v>40</v>
      </c>
      <c r="G48" s="15">
        <v>1610</v>
      </c>
      <c r="H48" s="15">
        <v>26582143</v>
      </c>
      <c r="I48" s="3"/>
    </row>
    <row r="49" spans="1:9" x14ac:dyDescent="0.25">
      <c r="A49" s="3" t="s">
        <v>144</v>
      </c>
      <c r="B49" s="3" t="s">
        <v>145</v>
      </c>
      <c r="C49" s="3" t="s">
        <v>133</v>
      </c>
      <c r="D49" s="8">
        <v>35</v>
      </c>
      <c r="E49" s="21">
        <v>31</v>
      </c>
      <c r="F49" s="21">
        <v>39</v>
      </c>
      <c r="G49" s="15">
        <v>1610</v>
      </c>
      <c r="H49" s="15">
        <v>26582143</v>
      </c>
      <c r="I49" s="3"/>
    </row>
    <row r="50" spans="1:9" x14ac:dyDescent="0.25">
      <c r="A50" s="3" t="s">
        <v>144</v>
      </c>
      <c r="B50" s="3" t="s">
        <v>145</v>
      </c>
      <c r="C50" s="3" t="s">
        <v>134</v>
      </c>
      <c r="D50" s="8">
        <v>14</v>
      </c>
      <c r="E50" s="21">
        <v>11</v>
      </c>
      <c r="F50" s="21">
        <v>16</v>
      </c>
      <c r="G50" s="15">
        <v>1610</v>
      </c>
      <c r="H50" s="15">
        <v>26582143</v>
      </c>
      <c r="I50" s="3"/>
    </row>
    <row r="51" spans="1:9" x14ac:dyDescent="0.25">
      <c r="A51" s="3" t="s">
        <v>144</v>
      </c>
      <c r="B51" s="3" t="s">
        <v>145</v>
      </c>
      <c r="C51" s="3" t="s">
        <v>135</v>
      </c>
      <c r="D51" s="8">
        <v>5</v>
      </c>
      <c r="E51" s="21">
        <v>4</v>
      </c>
      <c r="F51" s="21">
        <v>7</v>
      </c>
      <c r="G51" s="15">
        <v>1610</v>
      </c>
      <c r="H51" s="15">
        <v>26582143</v>
      </c>
      <c r="I51" s="3"/>
    </row>
    <row r="52" spans="1:9" x14ac:dyDescent="0.25">
      <c r="A52" s="3" t="s">
        <v>144</v>
      </c>
      <c r="B52" s="3" t="s">
        <v>145</v>
      </c>
      <c r="C52" s="3" t="s">
        <v>136</v>
      </c>
      <c r="D52" s="8">
        <v>46</v>
      </c>
      <c r="E52" s="21">
        <v>42</v>
      </c>
      <c r="F52" s="21">
        <v>50</v>
      </c>
      <c r="G52" s="15">
        <v>1610</v>
      </c>
      <c r="H52" s="15">
        <v>26582143</v>
      </c>
      <c r="I52" s="3" t="s">
        <v>137</v>
      </c>
    </row>
    <row r="53" spans="1:9" x14ac:dyDescent="0.25">
      <c r="A53" s="3" t="s">
        <v>144</v>
      </c>
      <c r="B53" s="3" t="s">
        <v>145</v>
      </c>
      <c r="C53" s="3" t="s">
        <v>138</v>
      </c>
      <c r="D53" s="8">
        <v>19</v>
      </c>
      <c r="E53" s="21">
        <v>16</v>
      </c>
      <c r="F53" s="21">
        <v>22</v>
      </c>
      <c r="G53" s="15">
        <v>1610</v>
      </c>
      <c r="H53" s="15">
        <v>26582143</v>
      </c>
      <c r="I53" s="3" t="s">
        <v>137</v>
      </c>
    </row>
    <row r="54" spans="1:9" ht="35.4" customHeight="1" x14ac:dyDescent="0.25">
      <c r="A54" s="3" t="s">
        <v>144</v>
      </c>
      <c r="B54" s="3" t="s">
        <v>146</v>
      </c>
      <c r="C54" s="3" t="s">
        <v>131</v>
      </c>
      <c r="D54" s="8">
        <v>6</v>
      </c>
      <c r="E54" s="21">
        <v>4</v>
      </c>
      <c r="F54" s="21">
        <v>8</v>
      </c>
      <c r="G54" s="15">
        <v>1680</v>
      </c>
      <c r="H54" s="15">
        <v>28030050</v>
      </c>
      <c r="I54" s="3"/>
    </row>
    <row r="55" spans="1:9" x14ac:dyDescent="0.25">
      <c r="A55" s="3" t="s">
        <v>144</v>
      </c>
      <c r="B55" s="3" t="s">
        <v>146</v>
      </c>
      <c r="C55" s="3" t="s">
        <v>132</v>
      </c>
      <c r="D55" s="8">
        <v>30</v>
      </c>
      <c r="E55" s="21">
        <v>27</v>
      </c>
      <c r="F55" s="21">
        <v>34</v>
      </c>
      <c r="G55" s="15">
        <v>1680</v>
      </c>
      <c r="H55" s="15">
        <v>28030050</v>
      </c>
      <c r="I55" s="3"/>
    </row>
    <row r="56" spans="1:9" x14ac:dyDescent="0.25">
      <c r="A56" s="3" t="s">
        <v>144</v>
      </c>
      <c r="B56" s="3" t="s">
        <v>146</v>
      </c>
      <c r="C56" s="3" t="s">
        <v>133</v>
      </c>
      <c r="D56" s="8">
        <v>44</v>
      </c>
      <c r="E56" s="21">
        <v>40</v>
      </c>
      <c r="F56" s="21">
        <v>47</v>
      </c>
      <c r="G56" s="15">
        <v>1680</v>
      </c>
      <c r="H56" s="15">
        <v>28030050</v>
      </c>
      <c r="I56" s="3"/>
    </row>
    <row r="57" spans="1:9" x14ac:dyDescent="0.25">
      <c r="A57" s="3" t="s">
        <v>144</v>
      </c>
      <c r="B57" s="3" t="s">
        <v>146</v>
      </c>
      <c r="C57" s="3" t="s">
        <v>134</v>
      </c>
      <c r="D57" s="8">
        <v>15</v>
      </c>
      <c r="E57" s="21">
        <v>13</v>
      </c>
      <c r="F57" s="21">
        <v>18</v>
      </c>
      <c r="G57" s="15">
        <v>1680</v>
      </c>
      <c r="H57" s="15">
        <v>28030050</v>
      </c>
      <c r="I57" s="3"/>
    </row>
    <row r="58" spans="1:9" x14ac:dyDescent="0.25">
      <c r="A58" s="3" t="s">
        <v>144</v>
      </c>
      <c r="B58" s="3" t="s">
        <v>146</v>
      </c>
      <c r="C58" s="3" t="s">
        <v>135</v>
      </c>
      <c r="D58" s="8">
        <v>5</v>
      </c>
      <c r="E58" s="21">
        <v>4</v>
      </c>
      <c r="F58" s="21">
        <v>7</v>
      </c>
      <c r="G58" s="15">
        <v>1680</v>
      </c>
      <c r="H58" s="15">
        <v>28030050</v>
      </c>
      <c r="I58" s="3"/>
    </row>
    <row r="59" spans="1:9" x14ac:dyDescent="0.25">
      <c r="A59" s="3" t="s">
        <v>144</v>
      </c>
      <c r="B59" s="3" t="s">
        <v>146</v>
      </c>
      <c r="C59" s="3" t="s">
        <v>136</v>
      </c>
      <c r="D59" s="8">
        <v>36</v>
      </c>
      <c r="E59" s="21">
        <v>33</v>
      </c>
      <c r="F59" s="21">
        <v>40</v>
      </c>
      <c r="G59" s="15">
        <v>1680</v>
      </c>
      <c r="H59" s="15">
        <v>28030050</v>
      </c>
      <c r="I59" s="3" t="s">
        <v>137</v>
      </c>
    </row>
    <row r="60" spans="1:9" x14ac:dyDescent="0.25">
      <c r="A60" s="3" t="s">
        <v>144</v>
      </c>
      <c r="B60" s="3" t="s">
        <v>146</v>
      </c>
      <c r="C60" s="3" t="s">
        <v>138</v>
      </c>
      <c r="D60" s="8">
        <v>20</v>
      </c>
      <c r="E60" s="21">
        <v>17</v>
      </c>
      <c r="F60" s="21">
        <v>23</v>
      </c>
      <c r="G60" s="15">
        <v>1680</v>
      </c>
      <c r="H60" s="15">
        <v>28030050</v>
      </c>
      <c r="I60" s="3" t="s">
        <v>137</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1"/>
  <sheetViews>
    <sheetView workbookViewId="0"/>
  </sheetViews>
  <sheetFormatPr defaultColWidth="11.54296875" defaultRowHeight="15" x14ac:dyDescent="0.25"/>
  <cols>
    <col min="1" max="1" width="17.08984375" customWidth="1"/>
    <col min="2" max="2" width="25.1796875" customWidth="1"/>
    <col min="3" max="3" width="34.6328125" customWidth="1"/>
    <col min="4" max="9" width="16.6328125" customWidth="1"/>
  </cols>
  <sheetData>
    <row r="1" spans="1:9" ht="21" x14ac:dyDescent="0.4">
      <c r="A1" s="5" t="s">
        <v>147</v>
      </c>
    </row>
    <row r="2" spans="1:9" ht="16.8" x14ac:dyDescent="0.3">
      <c r="A2" s="22" t="s">
        <v>118</v>
      </c>
    </row>
    <row r="3" spans="1:9" x14ac:dyDescent="0.25">
      <c r="A3" t="s">
        <v>38</v>
      </c>
    </row>
    <row r="4" spans="1:9" x14ac:dyDescent="0.25">
      <c r="A4" t="s">
        <v>119</v>
      </c>
    </row>
    <row r="5" spans="1:9" x14ac:dyDescent="0.25">
      <c r="A5" t="s">
        <v>120</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121</v>
      </c>
    </row>
    <row r="9" spans="1:9" ht="15.6" x14ac:dyDescent="0.3">
      <c r="A9" s="12" t="s">
        <v>148</v>
      </c>
    </row>
    <row r="10" spans="1:9" ht="15.6" x14ac:dyDescent="0.3">
      <c r="A10" s="12" t="s">
        <v>1</v>
      </c>
    </row>
    <row r="11" spans="1:9" ht="31.2" x14ac:dyDescent="0.3">
      <c r="A11" s="9" t="s">
        <v>123</v>
      </c>
      <c r="B11" s="9" t="s">
        <v>124</v>
      </c>
      <c r="C11" s="9" t="s">
        <v>125</v>
      </c>
      <c r="D11" s="10" t="s">
        <v>126</v>
      </c>
      <c r="E11" s="10" t="s">
        <v>127</v>
      </c>
      <c r="F11" s="10" t="s">
        <v>128</v>
      </c>
      <c r="G11" s="10" t="s">
        <v>21</v>
      </c>
      <c r="H11" s="10" t="s">
        <v>18</v>
      </c>
      <c r="I11" s="9" t="s">
        <v>47</v>
      </c>
    </row>
    <row r="12" spans="1:9" x14ac:dyDescent="0.25">
      <c r="A12" s="3" t="s">
        <v>129</v>
      </c>
      <c r="B12" s="3" t="s">
        <v>130</v>
      </c>
      <c r="C12" s="3" t="s">
        <v>131</v>
      </c>
      <c r="D12" s="8">
        <v>3</v>
      </c>
      <c r="E12" s="21">
        <v>2</v>
      </c>
      <c r="F12" s="21">
        <v>4</v>
      </c>
      <c r="G12" s="15">
        <v>3290</v>
      </c>
      <c r="H12" s="15">
        <v>54561658</v>
      </c>
      <c r="I12" s="3"/>
    </row>
    <row r="13" spans="1:9" x14ac:dyDescent="0.25">
      <c r="A13" s="3" t="s">
        <v>129</v>
      </c>
      <c r="B13" s="3" t="s">
        <v>130</v>
      </c>
      <c r="C13" s="3" t="s">
        <v>132</v>
      </c>
      <c r="D13" s="8">
        <v>27</v>
      </c>
      <c r="E13" s="21">
        <v>24</v>
      </c>
      <c r="F13" s="21">
        <v>29</v>
      </c>
      <c r="G13" s="15">
        <v>3290</v>
      </c>
      <c r="H13" s="15">
        <v>54561658</v>
      </c>
      <c r="I13" s="3"/>
    </row>
    <row r="14" spans="1:9" x14ac:dyDescent="0.25">
      <c r="A14" s="3" t="s">
        <v>129</v>
      </c>
      <c r="B14" s="3" t="s">
        <v>130</v>
      </c>
      <c r="C14" s="3" t="s">
        <v>133</v>
      </c>
      <c r="D14" s="8">
        <v>27</v>
      </c>
      <c r="E14" s="21">
        <v>25</v>
      </c>
      <c r="F14" s="21">
        <v>29</v>
      </c>
      <c r="G14" s="15">
        <v>3290</v>
      </c>
      <c r="H14" s="15">
        <v>54561658</v>
      </c>
      <c r="I14" s="3"/>
    </row>
    <row r="15" spans="1:9" x14ac:dyDescent="0.25">
      <c r="A15" s="3" t="s">
        <v>129</v>
      </c>
      <c r="B15" s="3" t="s">
        <v>130</v>
      </c>
      <c r="C15" s="3" t="s">
        <v>134</v>
      </c>
      <c r="D15" s="8">
        <v>26</v>
      </c>
      <c r="E15" s="21">
        <v>24</v>
      </c>
      <c r="F15" s="21">
        <v>28</v>
      </c>
      <c r="G15" s="15">
        <v>3290</v>
      </c>
      <c r="H15" s="15">
        <v>54561658</v>
      </c>
      <c r="I15" s="3"/>
    </row>
    <row r="16" spans="1:9" x14ac:dyDescent="0.25">
      <c r="A16" s="3" t="s">
        <v>129</v>
      </c>
      <c r="B16" s="3" t="s">
        <v>130</v>
      </c>
      <c r="C16" s="3" t="s">
        <v>135</v>
      </c>
      <c r="D16" s="8">
        <v>17</v>
      </c>
      <c r="E16" s="21">
        <v>15</v>
      </c>
      <c r="F16" s="21">
        <v>19</v>
      </c>
      <c r="G16" s="15">
        <v>3290</v>
      </c>
      <c r="H16" s="15">
        <v>54561658</v>
      </c>
      <c r="I16" s="3"/>
    </row>
    <row r="17" spans="1:9" x14ac:dyDescent="0.25">
      <c r="A17" s="3" t="s">
        <v>129</v>
      </c>
      <c r="B17" s="3" t="s">
        <v>130</v>
      </c>
      <c r="C17" s="3" t="s">
        <v>136</v>
      </c>
      <c r="D17" s="8">
        <v>29</v>
      </c>
      <c r="E17" s="21">
        <v>27</v>
      </c>
      <c r="F17" s="21">
        <v>32</v>
      </c>
      <c r="G17" s="15">
        <v>3290</v>
      </c>
      <c r="H17" s="15">
        <v>54561658</v>
      </c>
      <c r="I17" s="3" t="s">
        <v>137</v>
      </c>
    </row>
    <row r="18" spans="1:9" x14ac:dyDescent="0.25">
      <c r="A18" s="3" t="s">
        <v>129</v>
      </c>
      <c r="B18" s="3" t="s">
        <v>130</v>
      </c>
      <c r="C18" s="3" t="s">
        <v>138</v>
      </c>
      <c r="D18" s="8">
        <v>43</v>
      </c>
      <c r="E18" s="21">
        <v>41</v>
      </c>
      <c r="F18" s="21">
        <v>46</v>
      </c>
      <c r="G18" s="15">
        <v>3290</v>
      </c>
      <c r="H18" s="15">
        <v>54561658</v>
      </c>
      <c r="I18" s="3" t="s">
        <v>137</v>
      </c>
    </row>
    <row r="19" spans="1:9" ht="35.4" customHeight="1" x14ac:dyDescent="0.25">
      <c r="A19" s="3" t="s">
        <v>139</v>
      </c>
      <c r="B19" s="3" t="s">
        <v>140</v>
      </c>
      <c r="C19" s="3" t="s">
        <v>131</v>
      </c>
      <c r="D19" s="8">
        <v>3</v>
      </c>
      <c r="E19" s="21">
        <v>0</v>
      </c>
      <c r="F19" s="21">
        <v>6</v>
      </c>
      <c r="G19" s="15">
        <v>230</v>
      </c>
      <c r="H19" s="15">
        <v>11335590</v>
      </c>
      <c r="I19" s="3"/>
    </row>
    <row r="20" spans="1:9" x14ac:dyDescent="0.25">
      <c r="A20" s="3" t="s">
        <v>139</v>
      </c>
      <c r="B20" s="3" t="s">
        <v>140</v>
      </c>
      <c r="C20" s="3" t="s">
        <v>132</v>
      </c>
      <c r="D20" s="8">
        <v>24</v>
      </c>
      <c r="E20" s="21">
        <v>18</v>
      </c>
      <c r="F20" s="21">
        <v>31</v>
      </c>
      <c r="G20" s="15">
        <v>230</v>
      </c>
      <c r="H20" s="15">
        <v>11335590</v>
      </c>
      <c r="I20" s="3"/>
    </row>
    <row r="21" spans="1:9" x14ac:dyDescent="0.25">
      <c r="A21" s="3" t="s">
        <v>139</v>
      </c>
      <c r="B21" s="3" t="s">
        <v>140</v>
      </c>
      <c r="C21" s="3" t="s">
        <v>133</v>
      </c>
      <c r="D21" s="8">
        <v>23</v>
      </c>
      <c r="E21" s="21">
        <v>17</v>
      </c>
      <c r="F21" s="21">
        <v>29</v>
      </c>
      <c r="G21" s="15">
        <v>230</v>
      </c>
      <c r="H21" s="15">
        <v>11335590</v>
      </c>
      <c r="I21" s="3"/>
    </row>
    <row r="22" spans="1:9" x14ac:dyDescent="0.25">
      <c r="A22" s="3" t="s">
        <v>139</v>
      </c>
      <c r="B22" s="3" t="s">
        <v>140</v>
      </c>
      <c r="C22" s="3" t="s">
        <v>134</v>
      </c>
      <c r="D22" s="8">
        <v>29</v>
      </c>
      <c r="E22" s="21">
        <v>23</v>
      </c>
      <c r="F22" s="21">
        <v>36</v>
      </c>
      <c r="G22" s="15">
        <v>230</v>
      </c>
      <c r="H22" s="15">
        <v>11335590</v>
      </c>
      <c r="I22" s="3"/>
    </row>
    <row r="23" spans="1:9" x14ac:dyDescent="0.25">
      <c r="A23" s="3" t="s">
        <v>139</v>
      </c>
      <c r="B23" s="3" t="s">
        <v>140</v>
      </c>
      <c r="C23" s="3" t="s">
        <v>135</v>
      </c>
      <c r="D23" s="8">
        <v>21</v>
      </c>
      <c r="E23" s="21">
        <v>15</v>
      </c>
      <c r="F23" s="21">
        <v>27</v>
      </c>
      <c r="G23" s="15">
        <v>230</v>
      </c>
      <c r="H23" s="15">
        <v>11335590</v>
      </c>
      <c r="I23" s="3"/>
    </row>
    <row r="24" spans="1:9" x14ac:dyDescent="0.25">
      <c r="A24" s="3" t="s">
        <v>139</v>
      </c>
      <c r="B24" s="3" t="s">
        <v>140</v>
      </c>
      <c r="C24" s="3" t="s">
        <v>136</v>
      </c>
      <c r="D24" s="8">
        <v>27</v>
      </c>
      <c r="E24" s="21">
        <v>20</v>
      </c>
      <c r="F24" s="21">
        <v>34</v>
      </c>
      <c r="G24" s="15">
        <v>230</v>
      </c>
      <c r="H24" s="15">
        <v>11335590</v>
      </c>
      <c r="I24" s="3" t="s">
        <v>137</v>
      </c>
    </row>
    <row r="25" spans="1:9" x14ac:dyDescent="0.25">
      <c r="A25" s="3" t="s">
        <v>139</v>
      </c>
      <c r="B25" s="3" t="s">
        <v>140</v>
      </c>
      <c r="C25" s="3" t="s">
        <v>138</v>
      </c>
      <c r="D25" s="8">
        <v>50</v>
      </c>
      <c r="E25" s="21">
        <v>43</v>
      </c>
      <c r="F25" s="21">
        <v>58</v>
      </c>
      <c r="G25" s="15">
        <v>230</v>
      </c>
      <c r="H25" s="15">
        <v>11335590</v>
      </c>
      <c r="I25" s="3" t="s">
        <v>137</v>
      </c>
    </row>
    <row r="26" spans="1:9" ht="35.4" customHeight="1" x14ac:dyDescent="0.25">
      <c r="A26" s="3" t="s">
        <v>139</v>
      </c>
      <c r="B26" s="3" t="s">
        <v>141</v>
      </c>
      <c r="C26" s="3" t="s">
        <v>131</v>
      </c>
      <c r="D26" s="8">
        <v>4</v>
      </c>
      <c r="E26" s="21">
        <v>2</v>
      </c>
      <c r="F26" s="21">
        <v>6</v>
      </c>
      <c r="G26" s="15">
        <v>450</v>
      </c>
      <c r="H26" s="15">
        <v>17230036</v>
      </c>
      <c r="I26" s="3"/>
    </row>
    <row r="27" spans="1:9" x14ac:dyDescent="0.25">
      <c r="A27" s="3" t="s">
        <v>139</v>
      </c>
      <c r="B27" s="3" t="s">
        <v>141</v>
      </c>
      <c r="C27" s="3" t="s">
        <v>132</v>
      </c>
      <c r="D27" s="8">
        <v>34</v>
      </c>
      <c r="E27" s="21">
        <v>29</v>
      </c>
      <c r="F27" s="21">
        <v>40</v>
      </c>
      <c r="G27" s="15">
        <v>450</v>
      </c>
      <c r="H27" s="15">
        <v>17230036</v>
      </c>
      <c r="I27" s="3"/>
    </row>
    <row r="28" spans="1:9" x14ac:dyDescent="0.25">
      <c r="A28" s="3" t="s">
        <v>139</v>
      </c>
      <c r="B28" s="3" t="s">
        <v>141</v>
      </c>
      <c r="C28" s="3" t="s">
        <v>133</v>
      </c>
      <c r="D28" s="8">
        <v>20</v>
      </c>
      <c r="E28" s="21">
        <v>16</v>
      </c>
      <c r="F28" s="21">
        <v>25</v>
      </c>
      <c r="G28" s="15">
        <v>450</v>
      </c>
      <c r="H28" s="15">
        <v>17230036</v>
      </c>
      <c r="I28" s="3"/>
    </row>
    <row r="29" spans="1:9" x14ac:dyDescent="0.25">
      <c r="A29" s="3" t="s">
        <v>139</v>
      </c>
      <c r="B29" s="3" t="s">
        <v>141</v>
      </c>
      <c r="C29" s="3" t="s">
        <v>134</v>
      </c>
      <c r="D29" s="8">
        <v>25</v>
      </c>
      <c r="E29" s="21">
        <v>20</v>
      </c>
      <c r="F29" s="21">
        <v>29</v>
      </c>
      <c r="G29" s="15">
        <v>450</v>
      </c>
      <c r="H29" s="15">
        <v>17230036</v>
      </c>
      <c r="I29" s="3"/>
    </row>
    <row r="30" spans="1:9" x14ac:dyDescent="0.25">
      <c r="A30" s="3" t="s">
        <v>139</v>
      </c>
      <c r="B30" s="3" t="s">
        <v>141</v>
      </c>
      <c r="C30" s="3" t="s">
        <v>135</v>
      </c>
      <c r="D30" s="8">
        <v>17</v>
      </c>
      <c r="E30" s="21">
        <v>13</v>
      </c>
      <c r="F30" s="21">
        <v>21</v>
      </c>
      <c r="G30" s="15">
        <v>450</v>
      </c>
      <c r="H30" s="15">
        <v>17230036</v>
      </c>
      <c r="I30" s="3"/>
    </row>
    <row r="31" spans="1:9" x14ac:dyDescent="0.25">
      <c r="A31" s="3" t="s">
        <v>139</v>
      </c>
      <c r="B31" s="3" t="s">
        <v>141</v>
      </c>
      <c r="C31" s="3" t="s">
        <v>136</v>
      </c>
      <c r="D31" s="8">
        <v>38</v>
      </c>
      <c r="E31" s="21">
        <v>33</v>
      </c>
      <c r="F31" s="21">
        <v>43</v>
      </c>
      <c r="G31" s="15">
        <v>450</v>
      </c>
      <c r="H31" s="15">
        <v>17230036</v>
      </c>
      <c r="I31" s="3" t="s">
        <v>137</v>
      </c>
    </row>
    <row r="32" spans="1:9" x14ac:dyDescent="0.25">
      <c r="A32" s="3" t="s">
        <v>139</v>
      </c>
      <c r="B32" s="3" t="s">
        <v>141</v>
      </c>
      <c r="C32" s="3" t="s">
        <v>138</v>
      </c>
      <c r="D32" s="8">
        <v>41</v>
      </c>
      <c r="E32" s="21">
        <v>36</v>
      </c>
      <c r="F32" s="21">
        <v>47</v>
      </c>
      <c r="G32" s="15">
        <v>450</v>
      </c>
      <c r="H32" s="15">
        <v>17230036</v>
      </c>
      <c r="I32" s="3" t="s">
        <v>137</v>
      </c>
    </row>
    <row r="33" spans="1:9" ht="35.4" customHeight="1" x14ac:dyDescent="0.25">
      <c r="A33" s="3" t="s">
        <v>139</v>
      </c>
      <c r="B33" s="3" t="s">
        <v>142</v>
      </c>
      <c r="C33" s="3" t="s">
        <v>131</v>
      </c>
      <c r="D33" s="8">
        <v>2</v>
      </c>
      <c r="E33" s="21">
        <v>1</v>
      </c>
      <c r="F33" s="21">
        <v>3</v>
      </c>
      <c r="G33" s="15">
        <v>1170</v>
      </c>
      <c r="H33" s="15">
        <v>16904873</v>
      </c>
      <c r="I33" s="3"/>
    </row>
    <row r="34" spans="1:9" x14ac:dyDescent="0.25">
      <c r="A34" s="3" t="s">
        <v>139</v>
      </c>
      <c r="B34" s="3" t="s">
        <v>142</v>
      </c>
      <c r="C34" s="3" t="s">
        <v>132</v>
      </c>
      <c r="D34" s="8">
        <v>23</v>
      </c>
      <c r="E34" s="21">
        <v>19</v>
      </c>
      <c r="F34" s="21">
        <v>26</v>
      </c>
      <c r="G34" s="15">
        <v>1170</v>
      </c>
      <c r="H34" s="15">
        <v>16904873</v>
      </c>
      <c r="I34" s="3"/>
    </row>
    <row r="35" spans="1:9" x14ac:dyDescent="0.25">
      <c r="A35" s="3" t="s">
        <v>139</v>
      </c>
      <c r="B35" s="3" t="s">
        <v>142</v>
      </c>
      <c r="C35" s="3" t="s">
        <v>133</v>
      </c>
      <c r="D35" s="8">
        <v>34</v>
      </c>
      <c r="E35" s="21">
        <v>30</v>
      </c>
      <c r="F35" s="21">
        <v>38</v>
      </c>
      <c r="G35" s="15">
        <v>1170</v>
      </c>
      <c r="H35" s="15">
        <v>16904873</v>
      </c>
      <c r="I35" s="3"/>
    </row>
    <row r="36" spans="1:9" x14ac:dyDescent="0.25">
      <c r="A36" s="3" t="s">
        <v>139</v>
      </c>
      <c r="B36" s="3" t="s">
        <v>142</v>
      </c>
      <c r="C36" s="3" t="s">
        <v>134</v>
      </c>
      <c r="D36" s="8">
        <v>24</v>
      </c>
      <c r="E36" s="21">
        <v>21</v>
      </c>
      <c r="F36" s="21">
        <v>28</v>
      </c>
      <c r="G36" s="15">
        <v>1170</v>
      </c>
      <c r="H36" s="15">
        <v>16904873</v>
      </c>
      <c r="I36" s="3"/>
    </row>
    <row r="37" spans="1:9" x14ac:dyDescent="0.25">
      <c r="A37" s="3" t="s">
        <v>139</v>
      </c>
      <c r="B37" s="3" t="s">
        <v>142</v>
      </c>
      <c r="C37" s="3" t="s">
        <v>135</v>
      </c>
      <c r="D37" s="8">
        <v>17</v>
      </c>
      <c r="E37" s="21">
        <v>14</v>
      </c>
      <c r="F37" s="21">
        <v>21</v>
      </c>
      <c r="G37" s="15">
        <v>1170</v>
      </c>
      <c r="H37" s="15">
        <v>16904873</v>
      </c>
      <c r="I37" s="3"/>
    </row>
    <row r="38" spans="1:9" x14ac:dyDescent="0.25">
      <c r="A38" s="3" t="s">
        <v>139</v>
      </c>
      <c r="B38" s="3" t="s">
        <v>142</v>
      </c>
      <c r="C38" s="3" t="s">
        <v>136</v>
      </c>
      <c r="D38" s="8">
        <v>25</v>
      </c>
      <c r="E38" s="21">
        <v>21</v>
      </c>
      <c r="F38" s="21">
        <v>28</v>
      </c>
      <c r="G38" s="15">
        <v>1170</v>
      </c>
      <c r="H38" s="15">
        <v>16904873</v>
      </c>
      <c r="I38" s="3" t="s">
        <v>137</v>
      </c>
    </row>
    <row r="39" spans="1:9" x14ac:dyDescent="0.25">
      <c r="A39" s="3" t="s">
        <v>139</v>
      </c>
      <c r="B39" s="3" t="s">
        <v>142</v>
      </c>
      <c r="C39" s="3" t="s">
        <v>138</v>
      </c>
      <c r="D39" s="8">
        <v>42</v>
      </c>
      <c r="E39" s="21">
        <v>38</v>
      </c>
      <c r="F39" s="21">
        <v>46</v>
      </c>
      <c r="G39" s="15">
        <v>1170</v>
      </c>
      <c r="H39" s="15">
        <v>16904873</v>
      </c>
      <c r="I39" s="3" t="s">
        <v>137</v>
      </c>
    </row>
    <row r="40" spans="1:9" ht="35.4" customHeight="1" x14ac:dyDescent="0.25">
      <c r="A40" s="3" t="s">
        <v>139</v>
      </c>
      <c r="B40" s="3" t="s">
        <v>143</v>
      </c>
      <c r="C40" s="3" t="s">
        <v>131</v>
      </c>
      <c r="D40" s="8">
        <v>2</v>
      </c>
      <c r="E40" s="21">
        <v>1</v>
      </c>
      <c r="F40" s="21">
        <v>4</v>
      </c>
      <c r="G40" s="15">
        <v>1440</v>
      </c>
      <c r="H40" s="15">
        <v>9091159</v>
      </c>
      <c r="I40" s="3"/>
    </row>
    <row r="41" spans="1:9" x14ac:dyDescent="0.25">
      <c r="A41" s="3" t="s">
        <v>139</v>
      </c>
      <c r="B41" s="3" t="s">
        <v>143</v>
      </c>
      <c r="C41" s="3" t="s">
        <v>132</v>
      </c>
      <c r="D41" s="8">
        <v>22</v>
      </c>
      <c r="E41" s="21">
        <v>20</v>
      </c>
      <c r="F41" s="21">
        <v>25</v>
      </c>
      <c r="G41" s="15">
        <v>1440</v>
      </c>
      <c r="H41" s="15">
        <v>9091159</v>
      </c>
      <c r="I41" s="3"/>
    </row>
    <row r="42" spans="1:9" x14ac:dyDescent="0.25">
      <c r="A42" s="3" t="s">
        <v>139</v>
      </c>
      <c r="B42" s="3" t="s">
        <v>143</v>
      </c>
      <c r="C42" s="3" t="s">
        <v>133</v>
      </c>
      <c r="D42" s="8">
        <v>33</v>
      </c>
      <c r="E42" s="21">
        <v>30</v>
      </c>
      <c r="F42" s="21">
        <v>37</v>
      </c>
      <c r="G42" s="15">
        <v>1440</v>
      </c>
      <c r="H42" s="15">
        <v>9091159</v>
      </c>
      <c r="I42" s="3"/>
    </row>
    <row r="43" spans="1:9" x14ac:dyDescent="0.25">
      <c r="A43" s="3" t="s">
        <v>139</v>
      </c>
      <c r="B43" s="3" t="s">
        <v>143</v>
      </c>
      <c r="C43" s="3" t="s">
        <v>134</v>
      </c>
      <c r="D43" s="8">
        <v>28</v>
      </c>
      <c r="E43" s="21">
        <v>25</v>
      </c>
      <c r="F43" s="21">
        <v>31</v>
      </c>
      <c r="G43" s="15">
        <v>1440</v>
      </c>
      <c r="H43" s="15">
        <v>9091159</v>
      </c>
      <c r="I43" s="3"/>
    </row>
    <row r="44" spans="1:9" x14ac:dyDescent="0.25">
      <c r="A44" s="3" t="s">
        <v>139</v>
      </c>
      <c r="B44" s="3" t="s">
        <v>143</v>
      </c>
      <c r="C44" s="3" t="s">
        <v>135</v>
      </c>
      <c r="D44" s="8">
        <v>14</v>
      </c>
      <c r="E44" s="21">
        <v>11</v>
      </c>
      <c r="F44" s="21">
        <v>16</v>
      </c>
      <c r="G44" s="15">
        <v>1440</v>
      </c>
      <c r="H44" s="15">
        <v>9091159</v>
      </c>
      <c r="I44" s="3"/>
    </row>
    <row r="45" spans="1:9" x14ac:dyDescent="0.25">
      <c r="A45" s="3" t="s">
        <v>139</v>
      </c>
      <c r="B45" s="3" t="s">
        <v>143</v>
      </c>
      <c r="C45" s="3" t="s">
        <v>136</v>
      </c>
      <c r="D45" s="8">
        <v>25</v>
      </c>
      <c r="E45" s="21">
        <v>22</v>
      </c>
      <c r="F45" s="21">
        <v>28</v>
      </c>
      <c r="G45" s="15">
        <v>1440</v>
      </c>
      <c r="H45" s="15">
        <v>9091159</v>
      </c>
      <c r="I45" s="3" t="s">
        <v>137</v>
      </c>
    </row>
    <row r="46" spans="1:9" x14ac:dyDescent="0.25">
      <c r="A46" s="3" t="s">
        <v>139</v>
      </c>
      <c r="B46" s="3" t="s">
        <v>143</v>
      </c>
      <c r="C46" s="3" t="s">
        <v>138</v>
      </c>
      <c r="D46" s="8">
        <v>42</v>
      </c>
      <c r="E46" s="21">
        <v>38</v>
      </c>
      <c r="F46" s="21">
        <v>45</v>
      </c>
      <c r="G46" s="15">
        <v>1440</v>
      </c>
      <c r="H46" s="15">
        <v>9091159</v>
      </c>
      <c r="I46" s="3" t="s">
        <v>137</v>
      </c>
    </row>
    <row r="47" spans="1:9" ht="35.4" customHeight="1" x14ac:dyDescent="0.25">
      <c r="A47" s="3" t="s">
        <v>144</v>
      </c>
      <c r="B47" s="3" t="s">
        <v>145</v>
      </c>
      <c r="C47" s="3" t="s">
        <v>131</v>
      </c>
      <c r="D47" s="8">
        <v>4</v>
      </c>
      <c r="E47" s="21">
        <v>2</v>
      </c>
      <c r="F47" s="21">
        <v>6</v>
      </c>
      <c r="G47" s="15">
        <v>1610</v>
      </c>
      <c r="H47" s="15">
        <v>26545920</v>
      </c>
      <c r="I47" s="3"/>
    </row>
    <row r="48" spans="1:9" x14ac:dyDescent="0.25">
      <c r="A48" s="3" t="s">
        <v>144</v>
      </c>
      <c r="B48" s="3" t="s">
        <v>145</v>
      </c>
      <c r="C48" s="3" t="s">
        <v>132</v>
      </c>
      <c r="D48" s="8">
        <v>31</v>
      </c>
      <c r="E48" s="21">
        <v>27</v>
      </c>
      <c r="F48" s="21">
        <v>35</v>
      </c>
      <c r="G48" s="15">
        <v>1610</v>
      </c>
      <c r="H48" s="15">
        <v>26545920</v>
      </c>
      <c r="I48" s="3"/>
    </row>
    <row r="49" spans="1:9" x14ac:dyDescent="0.25">
      <c r="A49" s="3" t="s">
        <v>144</v>
      </c>
      <c r="B49" s="3" t="s">
        <v>145</v>
      </c>
      <c r="C49" s="3" t="s">
        <v>133</v>
      </c>
      <c r="D49" s="8">
        <v>23</v>
      </c>
      <c r="E49" s="21">
        <v>19</v>
      </c>
      <c r="F49" s="21">
        <v>26</v>
      </c>
      <c r="G49" s="15">
        <v>1610</v>
      </c>
      <c r="H49" s="15">
        <v>26545920</v>
      </c>
      <c r="I49" s="3"/>
    </row>
    <row r="50" spans="1:9" x14ac:dyDescent="0.25">
      <c r="A50" s="3" t="s">
        <v>144</v>
      </c>
      <c r="B50" s="3" t="s">
        <v>145</v>
      </c>
      <c r="C50" s="3" t="s">
        <v>134</v>
      </c>
      <c r="D50" s="8">
        <v>22</v>
      </c>
      <c r="E50" s="21">
        <v>19</v>
      </c>
      <c r="F50" s="21">
        <v>26</v>
      </c>
      <c r="G50" s="15">
        <v>1610</v>
      </c>
      <c r="H50" s="15">
        <v>26545920</v>
      </c>
      <c r="I50" s="3"/>
    </row>
    <row r="51" spans="1:9" x14ac:dyDescent="0.25">
      <c r="A51" s="3" t="s">
        <v>144</v>
      </c>
      <c r="B51" s="3" t="s">
        <v>145</v>
      </c>
      <c r="C51" s="3" t="s">
        <v>135</v>
      </c>
      <c r="D51" s="8">
        <v>20</v>
      </c>
      <c r="E51" s="21">
        <v>17</v>
      </c>
      <c r="F51" s="21">
        <v>23</v>
      </c>
      <c r="G51" s="15">
        <v>1610</v>
      </c>
      <c r="H51" s="15">
        <v>26545920</v>
      </c>
      <c r="I51" s="3"/>
    </row>
    <row r="52" spans="1:9" x14ac:dyDescent="0.25">
      <c r="A52" s="3" t="s">
        <v>144</v>
      </c>
      <c r="B52" s="3" t="s">
        <v>145</v>
      </c>
      <c r="C52" s="3" t="s">
        <v>136</v>
      </c>
      <c r="D52" s="8">
        <v>35</v>
      </c>
      <c r="E52" s="21">
        <v>31</v>
      </c>
      <c r="F52" s="21">
        <v>39</v>
      </c>
      <c r="G52" s="15">
        <v>1610</v>
      </c>
      <c r="H52" s="15">
        <v>26545920</v>
      </c>
      <c r="I52" s="3" t="s">
        <v>137</v>
      </c>
    </row>
    <row r="53" spans="1:9" x14ac:dyDescent="0.25">
      <c r="A53" s="3" t="s">
        <v>144</v>
      </c>
      <c r="B53" s="3" t="s">
        <v>145</v>
      </c>
      <c r="C53" s="3" t="s">
        <v>138</v>
      </c>
      <c r="D53" s="8">
        <v>42</v>
      </c>
      <c r="E53" s="21">
        <v>38</v>
      </c>
      <c r="F53" s="21">
        <v>46</v>
      </c>
      <c r="G53" s="15">
        <v>1610</v>
      </c>
      <c r="H53" s="15">
        <v>26545920</v>
      </c>
      <c r="I53" s="3" t="s">
        <v>137</v>
      </c>
    </row>
    <row r="54" spans="1:9" ht="35.4" customHeight="1" x14ac:dyDescent="0.25">
      <c r="A54" s="3" t="s">
        <v>144</v>
      </c>
      <c r="B54" s="3" t="s">
        <v>146</v>
      </c>
      <c r="C54" s="3" t="s">
        <v>131</v>
      </c>
      <c r="D54" s="8">
        <v>2</v>
      </c>
      <c r="E54" s="21">
        <v>1</v>
      </c>
      <c r="F54" s="21">
        <v>2</v>
      </c>
      <c r="G54" s="15">
        <v>1680</v>
      </c>
      <c r="H54" s="15">
        <v>28015738</v>
      </c>
      <c r="I54" s="3"/>
    </row>
    <row r="55" spans="1:9" x14ac:dyDescent="0.25">
      <c r="A55" s="3" t="s">
        <v>144</v>
      </c>
      <c r="B55" s="3" t="s">
        <v>146</v>
      </c>
      <c r="C55" s="3" t="s">
        <v>132</v>
      </c>
      <c r="D55" s="8">
        <v>23</v>
      </c>
      <c r="E55" s="21">
        <v>20</v>
      </c>
      <c r="F55" s="21">
        <v>26</v>
      </c>
      <c r="G55" s="15">
        <v>1680</v>
      </c>
      <c r="H55" s="15">
        <v>28015738</v>
      </c>
      <c r="I55" s="3"/>
    </row>
    <row r="56" spans="1:9" x14ac:dyDescent="0.25">
      <c r="A56" s="3" t="s">
        <v>144</v>
      </c>
      <c r="B56" s="3" t="s">
        <v>146</v>
      </c>
      <c r="C56" s="3" t="s">
        <v>133</v>
      </c>
      <c r="D56" s="8">
        <v>31</v>
      </c>
      <c r="E56" s="21">
        <v>28</v>
      </c>
      <c r="F56" s="21">
        <v>35</v>
      </c>
      <c r="G56" s="15">
        <v>1680</v>
      </c>
      <c r="H56" s="15">
        <v>28015738</v>
      </c>
      <c r="I56" s="3"/>
    </row>
    <row r="57" spans="1:9" x14ac:dyDescent="0.25">
      <c r="A57" s="3" t="s">
        <v>144</v>
      </c>
      <c r="B57" s="3" t="s">
        <v>146</v>
      </c>
      <c r="C57" s="3" t="s">
        <v>134</v>
      </c>
      <c r="D57" s="8">
        <v>30</v>
      </c>
      <c r="E57" s="21">
        <v>26</v>
      </c>
      <c r="F57" s="21">
        <v>33</v>
      </c>
      <c r="G57" s="15">
        <v>1680</v>
      </c>
      <c r="H57" s="15">
        <v>28015738</v>
      </c>
      <c r="I57" s="3"/>
    </row>
    <row r="58" spans="1:9" x14ac:dyDescent="0.25">
      <c r="A58" s="3" t="s">
        <v>144</v>
      </c>
      <c r="B58" s="3" t="s">
        <v>146</v>
      </c>
      <c r="C58" s="3" t="s">
        <v>135</v>
      </c>
      <c r="D58" s="8">
        <v>15</v>
      </c>
      <c r="E58" s="21">
        <v>12</v>
      </c>
      <c r="F58" s="21">
        <v>17</v>
      </c>
      <c r="G58" s="15">
        <v>1680</v>
      </c>
      <c r="H58" s="15">
        <v>28015738</v>
      </c>
      <c r="I58" s="3"/>
    </row>
    <row r="59" spans="1:9" x14ac:dyDescent="0.25">
      <c r="A59" s="3" t="s">
        <v>144</v>
      </c>
      <c r="B59" s="3" t="s">
        <v>146</v>
      </c>
      <c r="C59" s="3" t="s">
        <v>136</v>
      </c>
      <c r="D59" s="8">
        <v>24</v>
      </c>
      <c r="E59" s="21">
        <v>21</v>
      </c>
      <c r="F59" s="21">
        <v>27</v>
      </c>
      <c r="G59" s="15">
        <v>1680</v>
      </c>
      <c r="H59" s="15">
        <v>28015738</v>
      </c>
      <c r="I59" s="3" t="s">
        <v>137</v>
      </c>
    </row>
    <row r="60" spans="1:9" x14ac:dyDescent="0.25">
      <c r="A60" s="3" t="s">
        <v>144</v>
      </c>
      <c r="B60" s="3" t="s">
        <v>146</v>
      </c>
      <c r="C60" s="3" t="s">
        <v>138</v>
      </c>
      <c r="D60" s="8">
        <v>44</v>
      </c>
      <c r="E60" s="21">
        <v>41</v>
      </c>
      <c r="F60" s="21">
        <v>48</v>
      </c>
      <c r="G60" s="15">
        <v>1680</v>
      </c>
      <c r="H60" s="15">
        <v>28015738</v>
      </c>
      <c r="I60" s="3" t="s">
        <v>137</v>
      </c>
    </row>
    <row r="61" spans="1:9" ht="28.95" customHeight="1" x14ac:dyDescent="0.25">
      <c r="A61" s="3" t="s">
        <v>149</v>
      </c>
      <c r="B61" s="3" t="s">
        <v>136</v>
      </c>
      <c r="C61" s="3" t="s">
        <v>131</v>
      </c>
      <c r="D61" s="3">
        <v>5</v>
      </c>
      <c r="E61">
        <v>3</v>
      </c>
      <c r="F61">
        <v>7</v>
      </c>
      <c r="G61" s="15">
        <v>1240</v>
      </c>
      <c r="H61" s="15">
        <v>22351398</v>
      </c>
      <c r="I61" s="3" t="s">
        <v>150</v>
      </c>
    </row>
    <row r="62" spans="1:9" ht="19.2" customHeight="1" x14ac:dyDescent="0.25">
      <c r="A62" s="3" t="s">
        <v>149</v>
      </c>
      <c r="B62" s="3" t="s">
        <v>136</v>
      </c>
      <c r="C62" s="3" t="s">
        <v>132</v>
      </c>
      <c r="D62" s="3">
        <v>48</v>
      </c>
      <c r="E62">
        <v>44</v>
      </c>
      <c r="F62">
        <v>53</v>
      </c>
      <c r="G62" s="15">
        <v>1240</v>
      </c>
      <c r="H62" s="15">
        <v>22351398</v>
      </c>
      <c r="I62" s="3" t="s">
        <v>150</v>
      </c>
    </row>
    <row r="63" spans="1:9" ht="19.2" customHeight="1" x14ac:dyDescent="0.25">
      <c r="A63" s="3" t="s">
        <v>149</v>
      </c>
      <c r="B63" s="3" t="s">
        <v>136</v>
      </c>
      <c r="C63" s="3" t="s">
        <v>133</v>
      </c>
      <c r="D63" s="3">
        <v>24</v>
      </c>
      <c r="E63">
        <v>20</v>
      </c>
      <c r="F63">
        <v>27</v>
      </c>
      <c r="G63" s="15">
        <v>1240</v>
      </c>
      <c r="H63" s="15">
        <v>22351398</v>
      </c>
      <c r="I63" s="3" t="s">
        <v>150</v>
      </c>
    </row>
    <row r="64" spans="1:9" ht="19.2" customHeight="1" x14ac:dyDescent="0.25">
      <c r="A64" s="3" t="s">
        <v>149</v>
      </c>
      <c r="B64" s="3" t="s">
        <v>136</v>
      </c>
      <c r="C64" s="3" t="s">
        <v>134</v>
      </c>
      <c r="D64" s="3">
        <v>16</v>
      </c>
      <c r="E64">
        <v>13</v>
      </c>
      <c r="F64">
        <v>19</v>
      </c>
      <c r="G64" s="15">
        <v>1240</v>
      </c>
      <c r="H64" s="15">
        <v>22351398</v>
      </c>
      <c r="I64" s="3" t="s">
        <v>150</v>
      </c>
    </row>
    <row r="65" spans="1:9" ht="19.2" customHeight="1" x14ac:dyDescent="0.25">
      <c r="A65" s="3" t="s">
        <v>149</v>
      </c>
      <c r="B65" s="3" t="s">
        <v>136</v>
      </c>
      <c r="C65" s="3" t="s">
        <v>135</v>
      </c>
      <c r="D65" s="3">
        <v>7</v>
      </c>
      <c r="E65">
        <v>5</v>
      </c>
      <c r="F65">
        <v>10</v>
      </c>
      <c r="G65" s="15">
        <v>1240</v>
      </c>
      <c r="H65" s="15">
        <v>22351398</v>
      </c>
      <c r="I65" s="3" t="s">
        <v>150</v>
      </c>
    </row>
    <row r="66" spans="1:9" ht="19.2" customHeight="1" x14ac:dyDescent="0.25">
      <c r="A66" s="3" t="s">
        <v>149</v>
      </c>
      <c r="B66" s="3" t="s">
        <v>136</v>
      </c>
      <c r="C66" s="3" t="s">
        <v>136</v>
      </c>
      <c r="D66" s="3">
        <v>53</v>
      </c>
      <c r="E66">
        <v>49</v>
      </c>
      <c r="F66">
        <v>58</v>
      </c>
      <c r="G66" s="15">
        <v>1240</v>
      </c>
      <c r="H66" s="15">
        <v>22351398</v>
      </c>
      <c r="I66" s="3" t="s">
        <v>151</v>
      </c>
    </row>
    <row r="67" spans="1:9" ht="19.2" customHeight="1" x14ac:dyDescent="0.25">
      <c r="A67" s="3" t="s">
        <v>149</v>
      </c>
      <c r="B67" s="3" t="s">
        <v>136</v>
      </c>
      <c r="C67" s="3" t="s">
        <v>138</v>
      </c>
      <c r="D67" s="3">
        <v>23</v>
      </c>
      <c r="E67">
        <v>19</v>
      </c>
      <c r="F67">
        <v>26</v>
      </c>
      <c r="G67" s="15">
        <v>1240</v>
      </c>
      <c r="H67" s="15">
        <v>22351398</v>
      </c>
      <c r="I67" s="3" t="s">
        <v>151</v>
      </c>
    </row>
    <row r="68" spans="1:9" ht="30" customHeight="1" x14ac:dyDescent="0.25">
      <c r="A68" s="3" t="s">
        <v>149</v>
      </c>
      <c r="B68" s="3" t="s">
        <v>133</v>
      </c>
      <c r="C68" s="3" t="s">
        <v>131</v>
      </c>
      <c r="D68" s="3">
        <v>1</v>
      </c>
      <c r="E68">
        <v>0</v>
      </c>
      <c r="F68">
        <v>2</v>
      </c>
      <c r="G68" s="15">
        <v>1430</v>
      </c>
      <c r="H68" s="15">
        <v>21491327</v>
      </c>
      <c r="I68" s="3" t="s">
        <v>150</v>
      </c>
    </row>
    <row r="69" spans="1:9" ht="19.2" customHeight="1" x14ac:dyDescent="0.25">
      <c r="A69" s="3" t="s">
        <v>149</v>
      </c>
      <c r="B69" s="3" t="s">
        <v>133</v>
      </c>
      <c r="C69" s="3" t="s">
        <v>132</v>
      </c>
      <c r="D69" s="3">
        <v>15</v>
      </c>
      <c r="E69">
        <v>12</v>
      </c>
      <c r="F69">
        <v>18</v>
      </c>
      <c r="G69" s="15">
        <v>1430</v>
      </c>
      <c r="H69" s="15">
        <v>21491327</v>
      </c>
      <c r="I69" s="3" t="s">
        <v>150</v>
      </c>
    </row>
    <row r="70" spans="1:9" ht="19.2" customHeight="1" x14ac:dyDescent="0.25">
      <c r="A70" s="3" t="s">
        <v>149</v>
      </c>
      <c r="B70" s="3" t="s">
        <v>133</v>
      </c>
      <c r="C70" s="3" t="s">
        <v>133</v>
      </c>
      <c r="D70" s="3">
        <v>38</v>
      </c>
      <c r="E70">
        <v>34</v>
      </c>
      <c r="F70">
        <v>42</v>
      </c>
      <c r="G70" s="15">
        <v>1430</v>
      </c>
      <c r="H70" s="15">
        <v>21491327</v>
      </c>
      <c r="I70" s="3" t="s">
        <v>150</v>
      </c>
    </row>
    <row r="71" spans="1:9" ht="19.2" customHeight="1" x14ac:dyDescent="0.25">
      <c r="A71" s="3" t="s">
        <v>149</v>
      </c>
      <c r="B71" s="3" t="s">
        <v>133</v>
      </c>
      <c r="C71" s="3" t="s">
        <v>134</v>
      </c>
      <c r="D71" s="3">
        <v>33</v>
      </c>
      <c r="E71">
        <v>29</v>
      </c>
      <c r="F71">
        <v>37</v>
      </c>
      <c r="G71" s="15">
        <v>1430</v>
      </c>
      <c r="H71" s="15">
        <v>21491327</v>
      </c>
      <c r="I71" s="3" t="s">
        <v>150</v>
      </c>
    </row>
    <row r="72" spans="1:9" ht="19.2" customHeight="1" x14ac:dyDescent="0.25">
      <c r="A72" s="3" t="s">
        <v>149</v>
      </c>
      <c r="B72" s="3" t="s">
        <v>133</v>
      </c>
      <c r="C72" s="3" t="s">
        <v>135</v>
      </c>
      <c r="D72" s="3">
        <v>13</v>
      </c>
      <c r="E72">
        <v>10</v>
      </c>
      <c r="F72">
        <v>17</v>
      </c>
      <c r="G72" s="15">
        <v>1430</v>
      </c>
      <c r="H72" s="15">
        <v>21491327</v>
      </c>
      <c r="I72" s="3" t="s">
        <v>150</v>
      </c>
    </row>
    <row r="73" spans="1:9" ht="19.2" customHeight="1" x14ac:dyDescent="0.25">
      <c r="A73" s="3" t="s">
        <v>149</v>
      </c>
      <c r="B73" s="3" t="s">
        <v>133</v>
      </c>
      <c r="C73" s="3" t="s">
        <v>136</v>
      </c>
      <c r="D73" s="3">
        <v>16</v>
      </c>
      <c r="E73">
        <v>13</v>
      </c>
      <c r="F73">
        <v>19</v>
      </c>
      <c r="G73" s="15">
        <v>1430</v>
      </c>
      <c r="H73" s="15">
        <v>21491327</v>
      </c>
      <c r="I73" s="3" t="s">
        <v>151</v>
      </c>
    </row>
    <row r="74" spans="1:9" ht="19.2" customHeight="1" x14ac:dyDescent="0.25">
      <c r="A74" s="3" t="s">
        <v>149</v>
      </c>
      <c r="B74" s="3" t="s">
        <v>133</v>
      </c>
      <c r="C74" s="3" t="s">
        <v>138</v>
      </c>
      <c r="D74" s="3">
        <v>46</v>
      </c>
      <c r="E74">
        <v>42</v>
      </c>
      <c r="F74">
        <v>50</v>
      </c>
      <c r="G74" s="15">
        <v>1430</v>
      </c>
      <c r="H74" s="15">
        <v>21491327</v>
      </c>
      <c r="I74" s="3" t="s">
        <v>151</v>
      </c>
    </row>
    <row r="75" spans="1:9" ht="27.6" customHeight="1" x14ac:dyDescent="0.25">
      <c r="A75" s="3" t="s">
        <v>149</v>
      </c>
      <c r="B75" s="3" t="s">
        <v>138</v>
      </c>
      <c r="C75" s="3" t="s">
        <v>131</v>
      </c>
      <c r="D75" t="s">
        <v>152</v>
      </c>
      <c r="E75" t="s">
        <v>152</v>
      </c>
      <c r="F75" t="s">
        <v>152</v>
      </c>
      <c r="G75">
        <v>610</v>
      </c>
      <c r="H75" s="15">
        <v>10696436</v>
      </c>
      <c r="I75" s="3" t="s">
        <v>150</v>
      </c>
    </row>
    <row r="76" spans="1:9" ht="19.2" customHeight="1" x14ac:dyDescent="0.25">
      <c r="A76" s="3" t="s">
        <v>149</v>
      </c>
      <c r="B76" s="3" t="s">
        <v>138</v>
      </c>
      <c r="C76" s="3" t="s">
        <v>132</v>
      </c>
      <c r="D76" s="3">
        <v>5</v>
      </c>
      <c r="E76">
        <v>2</v>
      </c>
      <c r="F76">
        <v>8</v>
      </c>
      <c r="G76">
        <v>610</v>
      </c>
      <c r="H76" s="15">
        <v>10696436</v>
      </c>
      <c r="I76" s="3" t="s">
        <v>150</v>
      </c>
    </row>
    <row r="77" spans="1:9" ht="19.2" customHeight="1" x14ac:dyDescent="0.25">
      <c r="A77" s="3" t="s">
        <v>149</v>
      </c>
      <c r="B77" s="3" t="s">
        <v>138</v>
      </c>
      <c r="C77" s="3" t="s">
        <v>133</v>
      </c>
      <c r="D77" s="3">
        <v>13</v>
      </c>
      <c r="E77">
        <v>9</v>
      </c>
      <c r="F77">
        <v>17</v>
      </c>
      <c r="G77">
        <v>610</v>
      </c>
      <c r="H77" s="15">
        <v>10696436</v>
      </c>
      <c r="I77" s="3" t="s">
        <v>150</v>
      </c>
    </row>
    <row r="78" spans="1:9" ht="19.2" customHeight="1" x14ac:dyDescent="0.25">
      <c r="A78" s="3" t="s">
        <v>149</v>
      </c>
      <c r="B78" s="3" t="s">
        <v>138</v>
      </c>
      <c r="C78" s="3" t="s">
        <v>134</v>
      </c>
      <c r="D78" s="3">
        <v>35</v>
      </c>
      <c r="E78">
        <v>29</v>
      </c>
      <c r="F78">
        <v>40</v>
      </c>
      <c r="G78">
        <v>610</v>
      </c>
      <c r="H78" s="15">
        <v>10696436</v>
      </c>
      <c r="I78" s="3" t="s">
        <v>150</v>
      </c>
    </row>
    <row r="79" spans="1:9" ht="19.2" customHeight="1" x14ac:dyDescent="0.25">
      <c r="A79" s="3" t="s">
        <v>149</v>
      </c>
      <c r="B79" s="3" t="s">
        <v>138</v>
      </c>
      <c r="C79" s="3" t="s">
        <v>135</v>
      </c>
      <c r="D79" s="3">
        <v>47</v>
      </c>
      <c r="E79">
        <v>40</v>
      </c>
      <c r="F79">
        <v>53</v>
      </c>
      <c r="G79">
        <v>610</v>
      </c>
      <c r="H79" s="15">
        <v>10696436</v>
      </c>
      <c r="I79" s="3" t="s">
        <v>150</v>
      </c>
    </row>
    <row r="80" spans="1:9" ht="19.2" customHeight="1" x14ac:dyDescent="0.25">
      <c r="A80" s="3" t="s">
        <v>149</v>
      </c>
      <c r="B80" s="3" t="s">
        <v>138</v>
      </c>
      <c r="C80" s="3" t="s">
        <v>136</v>
      </c>
      <c r="D80" s="3">
        <v>6</v>
      </c>
      <c r="E80">
        <v>3</v>
      </c>
      <c r="F80">
        <v>10</v>
      </c>
      <c r="G80">
        <v>610</v>
      </c>
      <c r="H80" s="15">
        <v>10696436</v>
      </c>
      <c r="I80" s="3" t="s">
        <v>151</v>
      </c>
    </row>
    <row r="81" spans="1:9" ht="19.2" customHeight="1" x14ac:dyDescent="0.25">
      <c r="A81" s="3" t="s">
        <v>149</v>
      </c>
      <c r="B81" s="3" t="s">
        <v>138</v>
      </c>
      <c r="C81" s="3" t="s">
        <v>138</v>
      </c>
      <c r="D81" s="3">
        <v>81</v>
      </c>
      <c r="E81">
        <v>76</v>
      </c>
      <c r="F81">
        <v>86</v>
      </c>
      <c r="G81">
        <v>610</v>
      </c>
      <c r="H81" s="15">
        <v>10696436</v>
      </c>
      <c r="I81" s="3" t="s">
        <v>151</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0"/>
  <sheetViews>
    <sheetView workbookViewId="0"/>
  </sheetViews>
  <sheetFormatPr defaultColWidth="11.54296875" defaultRowHeight="15" x14ac:dyDescent="0.25"/>
  <cols>
    <col min="1" max="1" width="13.1796875" customWidth="1"/>
    <col min="2" max="2" width="25.36328125" customWidth="1"/>
    <col min="3" max="3" width="66.08984375" customWidth="1"/>
    <col min="4" max="8" width="16.6328125" customWidth="1"/>
  </cols>
  <sheetData>
    <row r="1" spans="1:9" ht="21" x14ac:dyDescent="0.4">
      <c r="A1" s="5" t="s">
        <v>153</v>
      </c>
    </row>
    <row r="2" spans="1:9" ht="16.8" x14ac:dyDescent="0.3">
      <c r="A2" s="22" t="s">
        <v>118</v>
      </c>
    </row>
    <row r="3" spans="1:9" x14ac:dyDescent="0.25">
      <c r="A3" t="s">
        <v>38</v>
      </c>
    </row>
    <row r="4" spans="1:9" x14ac:dyDescent="0.25">
      <c r="A4" t="s">
        <v>119</v>
      </c>
    </row>
    <row r="5" spans="1:9" x14ac:dyDescent="0.25">
      <c r="A5" s="11" t="str">
        <f>HYPERLINK("#'Cover'!A1", "If shorthand is present please refer to the Suppression and shorthand section in the Cover_sheet tab")</f>
        <v>If shorthand is present please refer to the Suppression and shorthand section in the Cover_sheet tab</v>
      </c>
    </row>
    <row r="6" spans="1:9" x14ac:dyDescent="0.25">
      <c r="A6" s="11" t="str">
        <f>HYPERLINK("#'Contents'!A1", "Return to table of contents")</f>
        <v>Return to table of contents</v>
      </c>
    </row>
    <row r="7" spans="1:9" x14ac:dyDescent="0.25">
      <c r="A7" t="s">
        <v>121</v>
      </c>
    </row>
    <row r="8" spans="1:9" ht="15.6" x14ac:dyDescent="0.3">
      <c r="A8" s="12" t="s">
        <v>154</v>
      </c>
    </row>
    <row r="9" spans="1:9" ht="15.6" x14ac:dyDescent="0.3">
      <c r="A9" s="12" t="s">
        <v>1</v>
      </c>
    </row>
    <row r="10" spans="1:9" ht="31.2" x14ac:dyDescent="0.3">
      <c r="A10" s="9" t="s">
        <v>123</v>
      </c>
      <c r="B10" s="9" t="s">
        <v>124</v>
      </c>
      <c r="C10" s="9" t="s">
        <v>125</v>
      </c>
      <c r="D10" s="10" t="s">
        <v>126</v>
      </c>
      <c r="E10" s="10" t="s">
        <v>127</v>
      </c>
      <c r="F10" s="10" t="s">
        <v>128</v>
      </c>
      <c r="G10" s="10" t="s">
        <v>21</v>
      </c>
      <c r="H10" s="10" t="s">
        <v>18</v>
      </c>
      <c r="I10" s="9" t="s">
        <v>47</v>
      </c>
    </row>
    <row r="11" spans="1:9" x14ac:dyDescent="0.25">
      <c r="A11" s="3" t="s">
        <v>129</v>
      </c>
      <c r="B11" s="3" t="s">
        <v>130</v>
      </c>
      <c r="C11" s="3" t="s">
        <v>155</v>
      </c>
      <c r="D11" s="8">
        <v>31</v>
      </c>
      <c r="E11" s="21">
        <v>28</v>
      </c>
      <c r="F11" s="21">
        <v>33</v>
      </c>
      <c r="G11" s="15">
        <v>3260</v>
      </c>
      <c r="H11" s="15">
        <v>54122350</v>
      </c>
    </row>
    <row r="12" spans="1:9" x14ac:dyDescent="0.25">
      <c r="A12" s="3" t="s">
        <v>129</v>
      </c>
      <c r="B12" s="3" t="s">
        <v>130</v>
      </c>
      <c r="C12" s="3" t="s">
        <v>156</v>
      </c>
      <c r="D12" s="8">
        <v>22</v>
      </c>
      <c r="E12" s="21">
        <v>20</v>
      </c>
      <c r="F12" s="21">
        <v>25</v>
      </c>
      <c r="G12" s="15">
        <v>3260</v>
      </c>
      <c r="H12" s="15">
        <v>54122350</v>
      </c>
    </row>
    <row r="13" spans="1:9" x14ac:dyDescent="0.25">
      <c r="A13" s="3" t="s">
        <v>129</v>
      </c>
      <c r="B13" s="3" t="s">
        <v>130</v>
      </c>
      <c r="C13" s="3" t="s">
        <v>157</v>
      </c>
      <c r="D13" s="8">
        <v>32</v>
      </c>
      <c r="E13" s="21">
        <v>30</v>
      </c>
      <c r="F13" s="21">
        <v>35</v>
      </c>
      <c r="G13" s="15">
        <v>3260</v>
      </c>
      <c r="H13" s="15">
        <v>54122350</v>
      </c>
    </row>
    <row r="14" spans="1:9" x14ac:dyDescent="0.25">
      <c r="A14" s="3" t="s">
        <v>129</v>
      </c>
      <c r="B14" s="3" t="s">
        <v>130</v>
      </c>
      <c r="C14" s="3" t="s">
        <v>158</v>
      </c>
      <c r="D14" s="8">
        <v>19</v>
      </c>
      <c r="E14" s="21">
        <v>17</v>
      </c>
      <c r="F14" s="21">
        <v>21</v>
      </c>
      <c r="G14" s="15">
        <v>3260</v>
      </c>
      <c r="H14" s="15">
        <v>54122350</v>
      </c>
    </row>
    <row r="15" spans="1:9" x14ac:dyDescent="0.25">
      <c r="A15" s="3" t="s">
        <v>129</v>
      </c>
      <c r="B15" s="3" t="s">
        <v>130</v>
      </c>
      <c r="C15" s="3" t="s">
        <v>159</v>
      </c>
      <c r="D15" s="8">
        <v>35</v>
      </c>
      <c r="E15" s="21">
        <v>32</v>
      </c>
      <c r="F15" s="21">
        <v>37</v>
      </c>
      <c r="G15" s="15">
        <v>3260</v>
      </c>
      <c r="H15" s="15">
        <v>54122350</v>
      </c>
    </row>
    <row r="16" spans="1:9" x14ac:dyDescent="0.25">
      <c r="A16" s="3" t="s">
        <v>129</v>
      </c>
      <c r="B16" s="3" t="s">
        <v>130</v>
      </c>
      <c r="C16" s="3" t="s">
        <v>160</v>
      </c>
      <c r="D16" s="8">
        <v>25</v>
      </c>
      <c r="E16" s="21">
        <v>23</v>
      </c>
      <c r="F16" s="21">
        <v>27</v>
      </c>
      <c r="G16" s="15">
        <v>3260</v>
      </c>
      <c r="H16" s="15">
        <v>54122350</v>
      </c>
    </row>
    <row r="17" spans="1:9" x14ac:dyDescent="0.25">
      <c r="A17" s="3" t="s">
        <v>129</v>
      </c>
      <c r="B17" s="3" t="s">
        <v>130</v>
      </c>
      <c r="C17" s="3" t="s">
        <v>161</v>
      </c>
      <c r="D17" s="8">
        <v>19</v>
      </c>
      <c r="E17" s="21">
        <v>17</v>
      </c>
      <c r="F17" s="21">
        <v>21</v>
      </c>
      <c r="G17" s="15">
        <v>3260</v>
      </c>
      <c r="H17" s="15">
        <v>54122350</v>
      </c>
    </row>
    <row r="18" spans="1:9" x14ac:dyDescent="0.25">
      <c r="A18" s="3" t="s">
        <v>129</v>
      </c>
      <c r="B18" s="3" t="s">
        <v>130</v>
      </c>
      <c r="C18" s="3" t="s">
        <v>162</v>
      </c>
      <c r="D18" s="8">
        <v>1</v>
      </c>
      <c r="E18" s="21">
        <v>1</v>
      </c>
      <c r="F18" s="21">
        <v>2</v>
      </c>
      <c r="G18" s="15">
        <v>3260</v>
      </c>
      <c r="H18" s="15">
        <v>54122350</v>
      </c>
    </row>
    <row r="19" spans="1:9" x14ac:dyDescent="0.25">
      <c r="A19" s="3" t="s">
        <v>129</v>
      </c>
      <c r="B19" s="3" t="s">
        <v>130</v>
      </c>
      <c r="C19" s="3" t="s">
        <v>163</v>
      </c>
      <c r="D19" s="8">
        <v>46</v>
      </c>
      <c r="E19" s="21">
        <v>44</v>
      </c>
      <c r="F19" s="21">
        <v>49</v>
      </c>
      <c r="G19" s="15">
        <v>3260</v>
      </c>
      <c r="H19" s="15">
        <v>54122350</v>
      </c>
    </row>
    <row r="20" spans="1:9" x14ac:dyDescent="0.25">
      <c r="A20" s="3" t="s">
        <v>129</v>
      </c>
      <c r="B20" s="3" t="s">
        <v>130</v>
      </c>
      <c r="C20" s="3" t="s">
        <v>164</v>
      </c>
      <c r="D20" s="3">
        <v>54</v>
      </c>
      <c r="E20">
        <v>51</v>
      </c>
      <c r="F20">
        <v>56</v>
      </c>
      <c r="G20" s="15">
        <v>3260</v>
      </c>
      <c r="H20" s="15">
        <v>54122350</v>
      </c>
      <c r="I20" s="60" t="s">
        <v>165</v>
      </c>
    </row>
    <row r="21" spans="1:9" ht="35.4" customHeight="1" x14ac:dyDescent="0.25">
      <c r="A21" s="3" t="s">
        <v>139</v>
      </c>
      <c r="B21" s="3" t="s">
        <v>140</v>
      </c>
      <c r="C21" s="3" t="s">
        <v>155</v>
      </c>
      <c r="D21" s="8">
        <v>30</v>
      </c>
      <c r="E21" s="21">
        <v>23</v>
      </c>
      <c r="F21" s="21">
        <v>37</v>
      </c>
      <c r="G21" s="15">
        <v>230</v>
      </c>
      <c r="H21" s="15">
        <v>11225815</v>
      </c>
    </row>
    <row r="22" spans="1:9" x14ac:dyDescent="0.25">
      <c r="A22" s="3" t="s">
        <v>139</v>
      </c>
      <c r="B22" s="3" t="s">
        <v>140</v>
      </c>
      <c r="C22" s="3" t="s">
        <v>156</v>
      </c>
      <c r="D22" s="8">
        <v>15</v>
      </c>
      <c r="E22" s="21">
        <v>10</v>
      </c>
      <c r="F22" s="21">
        <v>21</v>
      </c>
      <c r="G22" s="15">
        <v>230</v>
      </c>
      <c r="H22" s="15">
        <v>11225815</v>
      </c>
    </row>
    <row r="23" spans="1:9" x14ac:dyDescent="0.25">
      <c r="A23" s="3" t="s">
        <v>139</v>
      </c>
      <c r="B23" s="3" t="s">
        <v>140</v>
      </c>
      <c r="C23" s="68" t="s">
        <v>157</v>
      </c>
      <c r="D23" s="8">
        <v>23</v>
      </c>
      <c r="E23" s="21">
        <v>17</v>
      </c>
      <c r="F23" s="21">
        <v>29</v>
      </c>
      <c r="G23" s="15">
        <v>230</v>
      </c>
      <c r="H23" s="15">
        <v>11225815</v>
      </c>
    </row>
    <row r="24" spans="1:9" x14ac:dyDescent="0.25">
      <c r="A24" s="3" t="s">
        <v>139</v>
      </c>
      <c r="B24" s="3" t="s">
        <v>140</v>
      </c>
      <c r="C24" s="3" t="s">
        <v>158</v>
      </c>
      <c r="D24" s="8">
        <v>12</v>
      </c>
      <c r="E24" s="21">
        <v>8</v>
      </c>
      <c r="F24" s="21">
        <v>17</v>
      </c>
      <c r="G24" s="15">
        <v>230</v>
      </c>
      <c r="H24" s="15">
        <v>11225815</v>
      </c>
    </row>
    <row r="25" spans="1:9" x14ac:dyDescent="0.25">
      <c r="A25" s="3" t="s">
        <v>139</v>
      </c>
      <c r="B25" s="3" t="s">
        <v>140</v>
      </c>
      <c r="C25" s="3" t="s">
        <v>159</v>
      </c>
      <c r="D25" s="8">
        <v>38</v>
      </c>
      <c r="E25" s="21">
        <v>31</v>
      </c>
      <c r="F25" s="21">
        <v>46</v>
      </c>
      <c r="G25" s="15">
        <v>230</v>
      </c>
      <c r="H25" s="15">
        <v>11225815</v>
      </c>
    </row>
    <row r="26" spans="1:9" x14ac:dyDescent="0.25">
      <c r="A26" s="3" t="s">
        <v>139</v>
      </c>
      <c r="B26" s="3" t="s">
        <v>140</v>
      </c>
      <c r="C26" s="3" t="s">
        <v>160</v>
      </c>
      <c r="D26" s="8">
        <v>25</v>
      </c>
      <c r="E26" s="21">
        <v>18</v>
      </c>
      <c r="F26" s="21">
        <v>31</v>
      </c>
      <c r="G26" s="15">
        <v>230</v>
      </c>
      <c r="H26" s="15">
        <v>11225815</v>
      </c>
    </row>
    <row r="27" spans="1:9" x14ac:dyDescent="0.25">
      <c r="A27" s="3" t="s">
        <v>139</v>
      </c>
      <c r="B27" s="3" t="s">
        <v>140</v>
      </c>
      <c r="C27" s="3" t="s">
        <v>161</v>
      </c>
      <c r="D27" s="8">
        <v>15</v>
      </c>
      <c r="E27" s="21">
        <v>10</v>
      </c>
      <c r="F27" s="21">
        <v>20</v>
      </c>
      <c r="G27" s="15">
        <v>230</v>
      </c>
      <c r="H27" s="15">
        <v>11225815</v>
      </c>
    </row>
    <row r="28" spans="1:9" x14ac:dyDescent="0.25">
      <c r="A28" s="3" t="s">
        <v>139</v>
      </c>
      <c r="B28" s="3" t="s">
        <v>140</v>
      </c>
      <c r="C28" s="3" t="s">
        <v>162</v>
      </c>
      <c r="D28" s="17" t="s">
        <v>152</v>
      </c>
      <c r="E28" s="21" t="s">
        <v>152</v>
      </c>
      <c r="F28" s="21" t="s">
        <v>152</v>
      </c>
      <c r="G28" s="15">
        <v>230</v>
      </c>
      <c r="H28" s="15">
        <v>11225815</v>
      </c>
    </row>
    <row r="29" spans="1:9" x14ac:dyDescent="0.25">
      <c r="A29" s="3" t="s">
        <v>139</v>
      </c>
      <c r="B29" s="3" t="s">
        <v>140</v>
      </c>
      <c r="C29" s="3" t="s">
        <v>163</v>
      </c>
      <c r="D29" s="8">
        <v>44</v>
      </c>
      <c r="E29" s="21">
        <v>36</v>
      </c>
      <c r="F29" s="21">
        <v>51</v>
      </c>
      <c r="G29" s="15">
        <v>230</v>
      </c>
      <c r="H29" s="15">
        <v>11225815</v>
      </c>
    </row>
    <row r="30" spans="1:9" x14ac:dyDescent="0.25">
      <c r="A30" s="3" t="s">
        <v>139</v>
      </c>
      <c r="B30" s="3" t="s">
        <v>140</v>
      </c>
      <c r="C30" s="3" t="s">
        <v>164</v>
      </c>
      <c r="D30" s="3">
        <v>56</v>
      </c>
      <c r="E30">
        <v>49</v>
      </c>
      <c r="F30">
        <v>64</v>
      </c>
      <c r="G30">
        <v>230</v>
      </c>
      <c r="H30" s="15">
        <v>11225815</v>
      </c>
      <c r="I30" s="60" t="s">
        <v>165</v>
      </c>
    </row>
    <row r="31" spans="1:9" ht="35.4" customHeight="1" x14ac:dyDescent="0.25">
      <c r="A31" s="3" t="s">
        <v>139</v>
      </c>
      <c r="B31" s="3" t="s">
        <v>141</v>
      </c>
      <c r="C31" s="3" t="s">
        <v>155</v>
      </c>
      <c r="D31" s="8">
        <v>38</v>
      </c>
      <c r="E31" s="21">
        <v>32</v>
      </c>
      <c r="F31" s="21">
        <v>43</v>
      </c>
      <c r="G31" s="15">
        <v>450</v>
      </c>
      <c r="H31" s="15">
        <v>17075776</v>
      </c>
    </row>
    <row r="32" spans="1:9" x14ac:dyDescent="0.25">
      <c r="A32" s="3" t="s">
        <v>139</v>
      </c>
      <c r="B32" s="3" t="s">
        <v>141</v>
      </c>
      <c r="C32" s="3" t="s">
        <v>156</v>
      </c>
      <c r="D32" s="8">
        <v>28</v>
      </c>
      <c r="E32" s="21">
        <v>23</v>
      </c>
      <c r="F32" s="21">
        <v>32</v>
      </c>
      <c r="G32" s="15">
        <v>450</v>
      </c>
      <c r="H32" s="15">
        <v>17075776</v>
      </c>
    </row>
    <row r="33" spans="1:9" x14ac:dyDescent="0.25">
      <c r="A33" s="3" t="s">
        <v>139</v>
      </c>
      <c r="B33" s="3" t="s">
        <v>141</v>
      </c>
      <c r="C33" s="3" t="s">
        <v>157</v>
      </c>
      <c r="D33" s="8">
        <v>38</v>
      </c>
      <c r="E33" s="21">
        <v>33</v>
      </c>
      <c r="F33" s="21">
        <v>43</v>
      </c>
      <c r="G33" s="15">
        <v>450</v>
      </c>
      <c r="H33" s="15">
        <v>17075776</v>
      </c>
    </row>
    <row r="34" spans="1:9" x14ac:dyDescent="0.25">
      <c r="A34" s="3" t="s">
        <v>139</v>
      </c>
      <c r="B34" s="3" t="s">
        <v>141</v>
      </c>
      <c r="C34" s="3" t="s">
        <v>158</v>
      </c>
      <c r="D34" s="8">
        <v>28</v>
      </c>
      <c r="E34" s="21">
        <v>23</v>
      </c>
      <c r="F34" s="21">
        <v>32</v>
      </c>
      <c r="G34" s="15">
        <v>450</v>
      </c>
      <c r="H34" s="15">
        <v>17075776</v>
      </c>
    </row>
    <row r="35" spans="1:9" x14ac:dyDescent="0.25">
      <c r="A35" s="3" t="s">
        <v>139</v>
      </c>
      <c r="B35" s="3" t="s">
        <v>141</v>
      </c>
      <c r="C35" s="3" t="s">
        <v>159</v>
      </c>
      <c r="D35" s="8">
        <v>43</v>
      </c>
      <c r="E35" s="21">
        <v>38</v>
      </c>
      <c r="F35" s="21">
        <v>49</v>
      </c>
      <c r="G35" s="15">
        <v>450</v>
      </c>
      <c r="H35" s="15">
        <v>17075776</v>
      </c>
    </row>
    <row r="36" spans="1:9" x14ac:dyDescent="0.25">
      <c r="A36" s="3" t="s">
        <v>139</v>
      </c>
      <c r="B36" s="3" t="s">
        <v>141</v>
      </c>
      <c r="C36" s="3" t="s">
        <v>160</v>
      </c>
      <c r="D36" s="8">
        <v>34</v>
      </c>
      <c r="E36" s="21">
        <v>29</v>
      </c>
      <c r="F36" s="21">
        <v>39</v>
      </c>
      <c r="G36" s="15">
        <v>450</v>
      </c>
      <c r="H36" s="15">
        <v>17075776</v>
      </c>
    </row>
    <row r="37" spans="1:9" x14ac:dyDescent="0.25">
      <c r="A37" s="3" t="s">
        <v>139</v>
      </c>
      <c r="B37" s="3" t="s">
        <v>141</v>
      </c>
      <c r="C37" s="3" t="s">
        <v>161</v>
      </c>
      <c r="D37" s="8">
        <v>23</v>
      </c>
      <c r="E37" s="21">
        <v>19</v>
      </c>
      <c r="F37" s="21">
        <v>28</v>
      </c>
      <c r="G37" s="15">
        <v>450</v>
      </c>
      <c r="H37" s="15">
        <v>17075776</v>
      </c>
    </row>
    <row r="38" spans="1:9" x14ac:dyDescent="0.25">
      <c r="A38" s="3" t="s">
        <v>139</v>
      </c>
      <c r="B38" s="3" t="s">
        <v>141</v>
      </c>
      <c r="C38" s="3" t="s">
        <v>162</v>
      </c>
      <c r="D38" s="8">
        <v>2</v>
      </c>
      <c r="E38" s="21">
        <v>0</v>
      </c>
      <c r="F38" s="21">
        <v>3</v>
      </c>
      <c r="G38" s="15">
        <v>450</v>
      </c>
      <c r="H38" s="15">
        <v>17075776</v>
      </c>
    </row>
    <row r="39" spans="1:9" x14ac:dyDescent="0.25">
      <c r="A39" s="3" t="s">
        <v>139</v>
      </c>
      <c r="B39" s="3" t="s">
        <v>141</v>
      </c>
      <c r="C39" s="3" t="s">
        <v>163</v>
      </c>
      <c r="D39" s="8">
        <v>40</v>
      </c>
      <c r="E39" s="21">
        <v>34</v>
      </c>
      <c r="F39" s="21">
        <v>45</v>
      </c>
      <c r="G39" s="15">
        <v>450</v>
      </c>
      <c r="H39" s="15">
        <v>17075776</v>
      </c>
    </row>
    <row r="40" spans="1:9" x14ac:dyDescent="0.25">
      <c r="A40" s="3" t="s">
        <v>139</v>
      </c>
      <c r="B40" s="3" t="s">
        <v>141</v>
      </c>
      <c r="C40" s="3" t="s">
        <v>164</v>
      </c>
      <c r="D40" s="3">
        <v>60</v>
      </c>
      <c r="E40">
        <v>55</v>
      </c>
      <c r="F40">
        <v>66</v>
      </c>
      <c r="G40">
        <v>450</v>
      </c>
      <c r="H40" s="15">
        <v>17075776</v>
      </c>
      <c r="I40" s="60" t="s">
        <v>165</v>
      </c>
    </row>
    <row r="41" spans="1:9" ht="35.4" customHeight="1" x14ac:dyDescent="0.25">
      <c r="A41" s="3" t="s">
        <v>139</v>
      </c>
      <c r="B41" s="3" t="s">
        <v>142</v>
      </c>
      <c r="C41" s="3" t="s">
        <v>155</v>
      </c>
      <c r="D41" s="8">
        <v>28</v>
      </c>
      <c r="E41" s="21">
        <v>24</v>
      </c>
      <c r="F41" s="21">
        <v>31</v>
      </c>
      <c r="G41" s="15">
        <v>1160</v>
      </c>
      <c r="H41" s="15">
        <v>16799244</v>
      </c>
    </row>
    <row r="42" spans="1:9" x14ac:dyDescent="0.25">
      <c r="A42" s="3" t="s">
        <v>139</v>
      </c>
      <c r="B42" s="3" t="s">
        <v>142</v>
      </c>
      <c r="C42" s="3" t="s">
        <v>156</v>
      </c>
      <c r="D42" s="8">
        <v>21</v>
      </c>
      <c r="E42" s="21">
        <v>18</v>
      </c>
      <c r="F42" s="21">
        <v>24</v>
      </c>
      <c r="G42" s="15">
        <v>1160</v>
      </c>
      <c r="H42" s="15">
        <v>16799244</v>
      </c>
    </row>
    <row r="43" spans="1:9" x14ac:dyDescent="0.25">
      <c r="A43" s="3" t="s">
        <v>139</v>
      </c>
      <c r="B43" s="3" t="s">
        <v>142</v>
      </c>
      <c r="C43" s="3" t="s">
        <v>157</v>
      </c>
      <c r="D43" s="8">
        <v>32</v>
      </c>
      <c r="E43" s="21">
        <v>28</v>
      </c>
      <c r="F43" s="21">
        <v>36</v>
      </c>
      <c r="G43" s="15">
        <v>1160</v>
      </c>
      <c r="H43" s="15">
        <v>16799244</v>
      </c>
    </row>
    <row r="44" spans="1:9" x14ac:dyDescent="0.25">
      <c r="A44" s="3" t="s">
        <v>139</v>
      </c>
      <c r="B44" s="3" t="s">
        <v>142</v>
      </c>
      <c r="C44" s="3" t="s">
        <v>158</v>
      </c>
      <c r="D44" s="8">
        <v>18</v>
      </c>
      <c r="E44" s="21">
        <v>15</v>
      </c>
      <c r="F44" s="21">
        <v>21</v>
      </c>
      <c r="G44" s="15">
        <v>1160</v>
      </c>
      <c r="H44" s="15">
        <v>16799244</v>
      </c>
    </row>
    <row r="45" spans="1:9" x14ac:dyDescent="0.25">
      <c r="A45" s="3" t="s">
        <v>139</v>
      </c>
      <c r="B45" s="3" t="s">
        <v>142</v>
      </c>
      <c r="C45" s="3" t="s">
        <v>159</v>
      </c>
      <c r="D45" s="8">
        <v>30</v>
      </c>
      <c r="E45" s="21">
        <v>26</v>
      </c>
      <c r="F45" s="21">
        <v>34</v>
      </c>
      <c r="G45" s="15">
        <v>1160</v>
      </c>
      <c r="H45" s="15">
        <v>16799244</v>
      </c>
    </row>
    <row r="46" spans="1:9" x14ac:dyDescent="0.25">
      <c r="A46" s="3" t="s">
        <v>139</v>
      </c>
      <c r="B46" s="3" t="s">
        <v>142</v>
      </c>
      <c r="C46" s="3" t="s">
        <v>160</v>
      </c>
      <c r="D46" s="8">
        <v>20</v>
      </c>
      <c r="E46" s="21">
        <v>17</v>
      </c>
      <c r="F46" s="21">
        <v>24</v>
      </c>
      <c r="G46" s="15">
        <v>1160</v>
      </c>
      <c r="H46" s="15">
        <v>16799244</v>
      </c>
    </row>
    <row r="47" spans="1:9" x14ac:dyDescent="0.25">
      <c r="A47" s="3" t="s">
        <v>139</v>
      </c>
      <c r="B47" s="3" t="s">
        <v>142</v>
      </c>
      <c r="C47" s="3" t="s">
        <v>161</v>
      </c>
      <c r="D47" s="8">
        <v>18</v>
      </c>
      <c r="E47" s="21">
        <v>15</v>
      </c>
      <c r="F47" s="21">
        <v>21</v>
      </c>
      <c r="G47" s="15">
        <v>1160</v>
      </c>
      <c r="H47" s="15">
        <v>16799244</v>
      </c>
    </row>
    <row r="48" spans="1:9" x14ac:dyDescent="0.25">
      <c r="A48" s="3" t="s">
        <v>139</v>
      </c>
      <c r="B48" s="3" t="s">
        <v>142</v>
      </c>
      <c r="C48" s="3" t="s">
        <v>162</v>
      </c>
      <c r="D48" s="8">
        <v>2</v>
      </c>
      <c r="E48" s="21">
        <v>0</v>
      </c>
      <c r="F48" s="21">
        <v>3</v>
      </c>
      <c r="G48" s="15">
        <v>1160</v>
      </c>
      <c r="H48" s="15">
        <v>16799244</v>
      </c>
    </row>
    <row r="49" spans="1:9" x14ac:dyDescent="0.25">
      <c r="A49" s="3" t="s">
        <v>139</v>
      </c>
      <c r="B49" s="3" t="s">
        <v>142</v>
      </c>
      <c r="C49" s="3" t="s">
        <v>163</v>
      </c>
      <c r="D49" s="8">
        <v>51</v>
      </c>
      <c r="E49" s="21">
        <v>47</v>
      </c>
      <c r="F49" s="21">
        <v>55</v>
      </c>
      <c r="G49" s="15">
        <v>1160</v>
      </c>
      <c r="H49" s="15">
        <v>16799244</v>
      </c>
    </row>
    <row r="50" spans="1:9" x14ac:dyDescent="0.25">
      <c r="A50" s="3" t="s">
        <v>139</v>
      </c>
      <c r="B50" s="3" t="s">
        <v>142</v>
      </c>
      <c r="C50" s="3" t="s">
        <v>164</v>
      </c>
      <c r="D50" s="3">
        <v>49</v>
      </c>
      <c r="E50">
        <v>45</v>
      </c>
      <c r="F50">
        <v>53</v>
      </c>
      <c r="G50" s="15">
        <v>1160</v>
      </c>
      <c r="H50" s="15">
        <v>16799244</v>
      </c>
      <c r="I50" s="60" t="s">
        <v>165</v>
      </c>
    </row>
    <row r="51" spans="1:9" ht="35.4" customHeight="1" x14ac:dyDescent="0.25">
      <c r="A51" s="3" t="s">
        <v>139</v>
      </c>
      <c r="B51" s="3" t="s">
        <v>143</v>
      </c>
      <c r="C51" s="3" t="s">
        <v>155</v>
      </c>
      <c r="D51" s="8">
        <v>24</v>
      </c>
      <c r="E51" s="21">
        <v>21</v>
      </c>
      <c r="F51" s="21">
        <v>27</v>
      </c>
      <c r="G51" s="15">
        <v>1430</v>
      </c>
      <c r="H51" s="15">
        <v>9021514</v>
      </c>
    </row>
    <row r="52" spans="1:9" x14ac:dyDescent="0.25">
      <c r="A52" s="3" t="s">
        <v>139</v>
      </c>
      <c r="B52" s="3" t="s">
        <v>143</v>
      </c>
      <c r="C52" s="3" t="s">
        <v>156</v>
      </c>
      <c r="D52" s="8">
        <v>23</v>
      </c>
      <c r="E52" s="21">
        <v>20</v>
      </c>
      <c r="F52" s="21">
        <v>26</v>
      </c>
      <c r="G52" s="15">
        <v>1430</v>
      </c>
      <c r="H52" s="15">
        <v>9021514</v>
      </c>
    </row>
    <row r="53" spans="1:9" x14ac:dyDescent="0.25">
      <c r="A53" s="3" t="s">
        <v>139</v>
      </c>
      <c r="B53" s="3" t="s">
        <v>143</v>
      </c>
      <c r="C53" s="3" t="s">
        <v>157</v>
      </c>
      <c r="D53" s="8">
        <v>34</v>
      </c>
      <c r="E53" s="21">
        <v>31</v>
      </c>
      <c r="F53" s="21">
        <v>38</v>
      </c>
      <c r="G53" s="15">
        <v>1430</v>
      </c>
      <c r="H53" s="15">
        <v>9021514</v>
      </c>
    </row>
    <row r="54" spans="1:9" x14ac:dyDescent="0.25">
      <c r="A54" s="3" t="s">
        <v>139</v>
      </c>
      <c r="B54" s="3" t="s">
        <v>143</v>
      </c>
      <c r="C54" s="3" t="s">
        <v>158</v>
      </c>
      <c r="D54" s="8">
        <v>16</v>
      </c>
      <c r="E54" s="21">
        <v>13</v>
      </c>
      <c r="F54" s="21">
        <v>18</v>
      </c>
      <c r="G54" s="15">
        <v>1430</v>
      </c>
      <c r="H54" s="15">
        <v>9021514</v>
      </c>
    </row>
    <row r="55" spans="1:9" x14ac:dyDescent="0.25">
      <c r="A55" s="3" t="s">
        <v>139</v>
      </c>
      <c r="B55" s="3" t="s">
        <v>143</v>
      </c>
      <c r="C55" s="3" t="s">
        <v>159</v>
      </c>
      <c r="D55" s="8">
        <v>22</v>
      </c>
      <c r="E55" s="21">
        <v>19</v>
      </c>
      <c r="F55" s="21">
        <v>25</v>
      </c>
      <c r="G55" s="15">
        <v>1430</v>
      </c>
      <c r="H55" s="15">
        <v>9021514</v>
      </c>
    </row>
    <row r="56" spans="1:9" x14ac:dyDescent="0.25">
      <c r="A56" s="3" t="s">
        <v>139</v>
      </c>
      <c r="B56" s="3" t="s">
        <v>143</v>
      </c>
      <c r="C56" s="3" t="s">
        <v>160</v>
      </c>
      <c r="D56" s="8">
        <v>16</v>
      </c>
      <c r="E56" s="21">
        <v>13</v>
      </c>
      <c r="F56" s="21">
        <v>18</v>
      </c>
      <c r="G56" s="15">
        <v>1430</v>
      </c>
      <c r="H56" s="15">
        <v>9021514</v>
      </c>
    </row>
    <row r="57" spans="1:9" x14ac:dyDescent="0.25">
      <c r="A57" s="3" t="s">
        <v>139</v>
      </c>
      <c r="B57" s="3" t="s">
        <v>143</v>
      </c>
      <c r="C57" s="3" t="s">
        <v>161</v>
      </c>
      <c r="D57" s="8">
        <v>20</v>
      </c>
      <c r="E57" s="21">
        <v>18</v>
      </c>
      <c r="F57" s="21">
        <v>23</v>
      </c>
      <c r="G57" s="15">
        <v>1430</v>
      </c>
      <c r="H57" s="15">
        <v>9021514</v>
      </c>
    </row>
    <row r="58" spans="1:9" x14ac:dyDescent="0.25">
      <c r="A58" s="3" t="s">
        <v>139</v>
      </c>
      <c r="B58" s="3" t="s">
        <v>143</v>
      </c>
      <c r="C58" s="3" t="s">
        <v>162</v>
      </c>
      <c r="D58" s="8">
        <v>1</v>
      </c>
      <c r="E58" s="21">
        <v>0</v>
      </c>
      <c r="F58" s="21">
        <v>2</v>
      </c>
      <c r="G58" s="15">
        <v>1430</v>
      </c>
      <c r="H58" s="15">
        <v>9021514</v>
      </c>
    </row>
    <row r="59" spans="1:9" x14ac:dyDescent="0.25">
      <c r="A59" s="3" t="s">
        <v>139</v>
      </c>
      <c r="B59" s="3" t="s">
        <v>143</v>
      </c>
      <c r="C59" s="3" t="s">
        <v>163</v>
      </c>
      <c r="D59" s="8">
        <v>53</v>
      </c>
      <c r="E59" s="21">
        <v>49</v>
      </c>
      <c r="F59" s="21">
        <v>56</v>
      </c>
      <c r="G59" s="15">
        <v>1430</v>
      </c>
      <c r="H59" s="15">
        <v>9021514</v>
      </c>
    </row>
    <row r="60" spans="1:9" x14ac:dyDescent="0.25">
      <c r="A60" s="3" t="s">
        <v>139</v>
      </c>
      <c r="B60" s="3" t="s">
        <v>143</v>
      </c>
      <c r="C60" s="3" t="s">
        <v>164</v>
      </c>
      <c r="D60" s="3">
        <v>47</v>
      </c>
      <c r="E60">
        <v>44</v>
      </c>
      <c r="F60">
        <v>51</v>
      </c>
      <c r="G60" s="15">
        <v>1430</v>
      </c>
      <c r="H60" s="15">
        <v>9021514</v>
      </c>
      <c r="I60" s="60" t="s">
        <v>165</v>
      </c>
    </row>
    <row r="61" spans="1:9" ht="35.4" customHeight="1" x14ac:dyDescent="0.25">
      <c r="A61" s="3" t="s">
        <v>144</v>
      </c>
      <c r="B61" s="3" t="s">
        <v>145</v>
      </c>
      <c r="C61" s="3" t="s">
        <v>155</v>
      </c>
      <c r="D61" s="8">
        <v>35</v>
      </c>
      <c r="E61" s="21">
        <v>31</v>
      </c>
      <c r="F61" s="21">
        <v>39</v>
      </c>
      <c r="G61" s="15">
        <v>1610</v>
      </c>
      <c r="H61" s="15">
        <v>26455959</v>
      </c>
    </row>
    <row r="62" spans="1:9" x14ac:dyDescent="0.25">
      <c r="A62" s="3" t="s">
        <v>144</v>
      </c>
      <c r="B62" s="3" t="s">
        <v>145</v>
      </c>
      <c r="C62" s="3" t="s">
        <v>156</v>
      </c>
      <c r="D62" s="8">
        <v>27</v>
      </c>
      <c r="E62" s="21">
        <v>23</v>
      </c>
      <c r="F62" s="21">
        <v>30</v>
      </c>
      <c r="G62" s="15">
        <v>1610</v>
      </c>
      <c r="H62" s="15">
        <v>26455959</v>
      </c>
    </row>
    <row r="63" spans="1:9" x14ac:dyDescent="0.25">
      <c r="A63" s="3" t="s">
        <v>144</v>
      </c>
      <c r="B63" s="3" t="s">
        <v>145</v>
      </c>
      <c r="C63" s="3" t="s">
        <v>157</v>
      </c>
      <c r="D63" s="8">
        <v>39</v>
      </c>
      <c r="E63" s="21">
        <v>35</v>
      </c>
      <c r="F63" s="21">
        <v>42</v>
      </c>
      <c r="G63" s="15">
        <v>1610</v>
      </c>
      <c r="H63" s="15">
        <v>26455959</v>
      </c>
    </row>
    <row r="64" spans="1:9" x14ac:dyDescent="0.25">
      <c r="A64" s="3" t="s">
        <v>144</v>
      </c>
      <c r="B64" s="3" t="s">
        <v>145</v>
      </c>
      <c r="C64" s="3" t="s">
        <v>158</v>
      </c>
      <c r="D64" s="8">
        <v>23</v>
      </c>
      <c r="E64" s="21">
        <v>20</v>
      </c>
      <c r="F64" s="21">
        <v>27</v>
      </c>
      <c r="G64" s="15">
        <v>1610</v>
      </c>
      <c r="H64" s="15">
        <v>26455959</v>
      </c>
    </row>
    <row r="65" spans="1:9" x14ac:dyDescent="0.25">
      <c r="A65" s="3" t="s">
        <v>144</v>
      </c>
      <c r="B65" s="3" t="s">
        <v>145</v>
      </c>
      <c r="C65" s="3" t="s">
        <v>159</v>
      </c>
      <c r="D65" s="8">
        <v>39</v>
      </c>
      <c r="E65" s="21">
        <v>35</v>
      </c>
      <c r="F65" s="21">
        <v>43</v>
      </c>
      <c r="G65" s="15">
        <v>1610</v>
      </c>
      <c r="H65" s="15">
        <v>26455959</v>
      </c>
    </row>
    <row r="66" spans="1:9" x14ac:dyDescent="0.25">
      <c r="A66" s="3" t="s">
        <v>144</v>
      </c>
      <c r="B66" s="3" t="s">
        <v>145</v>
      </c>
      <c r="C66" s="3" t="s">
        <v>160</v>
      </c>
      <c r="D66" s="8">
        <v>27</v>
      </c>
      <c r="E66" s="21">
        <v>24</v>
      </c>
      <c r="F66" s="21">
        <v>31</v>
      </c>
      <c r="G66" s="15">
        <v>1610</v>
      </c>
      <c r="H66" s="15">
        <v>26455959</v>
      </c>
    </row>
    <row r="67" spans="1:9" x14ac:dyDescent="0.25">
      <c r="A67" s="3" t="s">
        <v>144</v>
      </c>
      <c r="B67" s="3" t="s">
        <v>145</v>
      </c>
      <c r="C67" s="3" t="s">
        <v>161</v>
      </c>
      <c r="D67" s="8">
        <v>24</v>
      </c>
      <c r="E67" s="21">
        <v>21</v>
      </c>
      <c r="F67" s="21">
        <v>27</v>
      </c>
      <c r="G67" s="15">
        <v>1610</v>
      </c>
      <c r="H67" s="15">
        <v>26455959</v>
      </c>
    </row>
    <row r="68" spans="1:9" x14ac:dyDescent="0.25">
      <c r="A68" s="3" t="s">
        <v>144</v>
      </c>
      <c r="B68" s="3" t="s">
        <v>145</v>
      </c>
      <c r="C68" s="3" t="s">
        <v>162</v>
      </c>
      <c r="D68" s="8">
        <v>2</v>
      </c>
      <c r="E68" s="21">
        <v>1</v>
      </c>
      <c r="F68" s="21">
        <v>3</v>
      </c>
      <c r="G68" s="15">
        <v>1610</v>
      </c>
      <c r="H68" s="15">
        <v>26455959</v>
      </c>
    </row>
    <row r="69" spans="1:9" x14ac:dyDescent="0.25">
      <c r="A69" s="3" t="s">
        <v>144</v>
      </c>
      <c r="B69" s="3" t="s">
        <v>145</v>
      </c>
      <c r="C69" s="3" t="s">
        <v>163</v>
      </c>
      <c r="D69" s="8">
        <v>41</v>
      </c>
      <c r="E69" s="21">
        <v>37</v>
      </c>
      <c r="F69" s="21">
        <v>45</v>
      </c>
      <c r="G69" s="15">
        <v>1610</v>
      </c>
      <c r="H69" s="15">
        <v>26455959</v>
      </c>
    </row>
    <row r="70" spans="1:9" x14ac:dyDescent="0.25">
      <c r="A70" s="3" t="s">
        <v>144</v>
      </c>
      <c r="B70" s="3" t="s">
        <v>145</v>
      </c>
      <c r="C70" s="3" t="s">
        <v>164</v>
      </c>
      <c r="D70" s="3">
        <v>59</v>
      </c>
      <c r="E70">
        <v>55</v>
      </c>
      <c r="F70">
        <v>63</v>
      </c>
      <c r="G70" s="15">
        <v>1610</v>
      </c>
      <c r="H70" s="15">
        <v>26455959</v>
      </c>
      <c r="I70" s="60" t="s">
        <v>165</v>
      </c>
    </row>
    <row r="71" spans="1:9" ht="35.4" customHeight="1" x14ac:dyDescent="0.25">
      <c r="A71" s="3" t="s">
        <v>144</v>
      </c>
      <c r="B71" s="3" t="s">
        <v>146</v>
      </c>
      <c r="C71" s="3" t="s">
        <v>155</v>
      </c>
      <c r="D71" s="8">
        <v>27</v>
      </c>
      <c r="E71" s="21">
        <v>23</v>
      </c>
      <c r="F71" s="21">
        <v>30</v>
      </c>
      <c r="G71" s="15">
        <v>1660</v>
      </c>
      <c r="H71" s="15">
        <v>27666391</v>
      </c>
    </row>
    <row r="72" spans="1:9" x14ac:dyDescent="0.25">
      <c r="A72" s="3" t="s">
        <v>144</v>
      </c>
      <c r="B72" s="3" t="s">
        <v>146</v>
      </c>
      <c r="C72" s="3" t="s">
        <v>156</v>
      </c>
      <c r="D72" s="8">
        <v>18</v>
      </c>
      <c r="E72" s="21">
        <v>15</v>
      </c>
      <c r="F72" s="21">
        <v>21</v>
      </c>
      <c r="G72" s="15">
        <v>1660</v>
      </c>
      <c r="H72" s="15">
        <v>27666391</v>
      </c>
    </row>
    <row r="73" spans="1:9" x14ac:dyDescent="0.25">
      <c r="A73" s="3" t="s">
        <v>144</v>
      </c>
      <c r="B73" s="3" t="s">
        <v>146</v>
      </c>
      <c r="C73" s="3" t="s">
        <v>157</v>
      </c>
      <c r="D73" s="8">
        <v>27</v>
      </c>
      <c r="E73" s="21">
        <v>24</v>
      </c>
      <c r="F73" s="21">
        <v>30</v>
      </c>
      <c r="G73" s="15">
        <v>1660</v>
      </c>
      <c r="H73" s="15">
        <v>27666391</v>
      </c>
    </row>
    <row r="74" spans="1:9" x14ac:dyDescent="0.25">
      <c r="A74" s="3" t="s">
        <v>144</v>
      </c>
      <c r="B74" s="3" t="s">
        <v>146</v>
      </c>
      <c r="C74" s="3" t="s">
        <v>158</v>
      </c>
      <c r="D74" s="8">
        <v>16</v>
      </c>
      <c r="E74" s="21">
        <v>13</v>
      </c>
      <c r="F74" s="21">
        <v>18</v>
      </c>
      <c r="G74" s="15">
        <v>1660</v>
      </c>
      <c r="H74" s="15">
        <v>27666391</v>
      </c>
    </row>
    <row r="75" spans="1:9" x14ac:dyDescent="0.25">
      <c r="A75" s="3" t="s">
        <v>144</v>
      </c>
      <c r="B75" s="3" t="s">
        <v>146</v>
      </c>
      <c r="C75" s="3" t="s">
        <v>159</v>
      </c>
      <c r="D75" s="8">
        <v>31</v>
      </c>
      <c r="E75" s="21">
        <v>27</v>
      </c>
      <c r="F75" s="21">
        <v>34</v>
      </c>
      <c r="G75" s="15">
        <v>1660</v>
      </c>
      <c r="H75" s="15">
        <v>27666391</v>
      </c>
    </row>
    <row r="76" spans="1:9" x14ac:dyDescent="0.25">
      <c r="A76" s="3" t="s">
        <v>144</v>
      </c>
      <c r="B76" s="3" t="s">
        <v>146</v>
      </c>
      <c r="C76" s="3" t="s">
        <v>160</v>
      </c>
      <c r="D76" s="8">
        <v>22</v>
      </c>
      <c r="E76" s="21">
        <v>19</v>
      </c>
      <c r="F76" s="21">
        <v>26</v>
      </c>
      <c r="G76" s="15">
        <v>1660</v>
      </c>
      <c r="H76" s="15">
        <v>27666391</v>
      </c>
    </row>
    <row r="77" spans="1:9" x14ac:dyDescent="0.25">
      <c r="A77" s="3" t="s">
        <v>144</v>
      </c>
      <c r="B77" s="3" t="s">
        <v>146</v>
      </c>
      <c r="C77" s="3" t="s">
        <v>161</v>
      </c>
      <c r="D77" s="8">
        <v>15</v>
      </c>
      <c r="E77" s="21">
        <v>13</v>
      </c>
      <c r="F77" s="21">
        <v>17</v>
      </c>
      <c r="G77" s="15">
        <v>1660</v>
      </c>
      <c r="H77" s="15">
        <v>27666391</v>
      </c>
    </row>
    <row r="78" spans="1:9" x14ac:dyDescent="0.25">
      <c r="A78" s="3" t="s">
        <v>144</v>
      </c>
      <c r="B78" s="3" t="s">
        <v>146</v>
      </c>
      <c r="C78" s="3" t="s">
        <v>162</v>
      </c>
      <c r="D78" s="8">
        <v>1</v>
      </c>
      <c r="E78" s="21">
        <v>0</v>
      </c>
      <c r="F78" s="21">
        <v>2</v>
      </c>
      <c r="G78" s="15">
        <v>1660</v>
      </c>
      <c r="H78" s="15">
        <v>27666391</v>
      </c>
    </row>
    <row r="79" spans="1:9" x14ac:dyDescent="0.25">
      <c r="A79" s="3" t="s">
        <v>144</v>
      </c>
      <c r="B79" s="3" t="s">
        <v>146</v>
      </c>
      <c r="C79" s="3" t="s">
        <v>163</v>
      </c>
      <c r="D79" s="8">
        <v>51</v>
      </c>
      <c r="E79" s="21">
        <v>48</v>
      </c>
      <c r="F79" s="21">
        <v>55</v>
      </c>
      <c r="G79" s="15">
        <v>1660</v>
      </c>
      <c r="H79" s="15">
        <v>27666391</v>
      </c>
    </row>
    <row r="80" spans="1:9" x14ac:dyDescent="0.25">
      <c r="A80" s="3" t="s">
        <v>144</v>
      </c>
      <c r="B80" s="3" t="s">
        <v>146</v>
      </c>
      <c r="C80" s="3" t="s">
        <v>164</v>
      </c>
      <c r="D80" s="3">
        <v>49</v>
      </c>
      <c r="E80">
        <v>45</v>
      </c>
      <c r="F80">
        <v>52</v>
      </c>
      <c r="G80" s="15">
        <v>1660</v>
      </c>
      <c r="H80" s="15">
        <v>27666391</v>
      </c>
      <c r="I80" s="60" t="s">
        <v>165</v>
      </c>
    </row>
    <row r="81" spans="1:9" ht="35.4" customHeight="1" x14ac:dyDescent="0.25">
      <c r="A81" t="s">
        <v>149</v>
      </c>
      <c r="B81" s="3" t="s">
        <v>136</v>
      </c>
      <c r="C81" s="3" t="s">
        <v>155</v>
      </c>
      <c r="D81" s="8">
        <v>51</v>
      </c>
      <c r="E81" s="21">
        <v>46</v>
      </c>
      <c r="F81" s="21">
        <v>55</v>
      </c>
      <c r="G81" s="15">
        <v>1240</v>
      </c>
      <c r="H81" s="15">
        <v>22139773</v>
      </c>
      <c r="I81" s="3" t="s">
        <v>150</v>
      </c>
    </row>
    <row r="82" spans="1:9" x14ac:dyDescent="0.25">
      <c r="A82" t="s">
        <v>149</v>
      </c>
      <c r="B82" s="3" t="s">
        <v>136</v>
      </c>
      <c r="C82" s="3" t="s">
        <v>156</v>
      </c>
      <c r="D82" s="8">
        <v>37</v>
      </c>
      <c r="E82" s="21">
        <v>33</v>
      </c>
      <c r="F82" s="21">
        <v>41</v>
      </c>
      <c r="G82" s="15">
        <v>1240</v>
      </c>
      <c r="H82" s="15">
        <v>22139773</v>
      </c>
      <c r="I82" s="3" t="s">
        <v>150</v>
      </c>
    </row>
    <row r="83" spans="1:9" x14ac:dyDescent="0.25">
      <c r="A83" t="s">
        <v>149</v>
      </c>
      <c r="B83" s="3" t="s">
        <v>136</v>
      </c>
      <c r="C83" s="3" t="s">
        <v>157</v>
      </c>
      <c r="D83" s="8">
        <v>51</v>
      </c>
      <c r="E83" s="21">
        <v>47</v>
      </c>
      <c r="F83" s="21">
        <v>55</v>
      </c>
      <c r="G83" s="15">
        <v>1240</v>
      </c>
      <c r="H83" s="15">
        <v>22139773</v>
      </c>
      <c r="I83" s="3" t="s">
        <v>150</v>
      </c>
    </row>
    <row r="84" spans="1:9" x14ac:dyDescent="0.25">
      <c r="A84" t="s">
        <v>149</v>
      </c>
      <c r="B84" s="3" t="s">
        <v>136</v>
      </c>
      <c r="C84" s="3" t="s">
        <v>158</v>
      </c>
      <c r="D84" s="8">
        <v>33</v>
      </c>
      <c r="E84" s="21">
        <v>29</v>
      </c>
      <c r="F84" s="21">
        <v>37</v>
      </c>
      <c r="G84" s="15">
        <v>1240</v>
      </c>
      <c r="H84" s="15">
        <v>22139773</v>
      </c>
      <c r="I84" s="3" t="s">
        <v>150</v>
      </c>
    </row>
    <row r="85" spans="1:9" x14ac:dyDescent="0.25">
      <c r="A85" t="s">
        <v>149</v>
      </c>
      <c r="B85" s="3" t="s">
        <v>136</v>
      </c>
      <c r="C85" s="3" t="s">
        <v>159</v>
      </c>
      <c r="D85" s="8">
        <v>57</v>
      </c>
      <c r="E85" s="21">
        <v>53</v>
      </c>
      <c r="F85" s="21">
        <v>62</v>
      </c>
      <c r="G85" s="15">
        <v>1240</v>
      </c>
      <c r="H85" s="15">
        <v>22139773</v>
      </c>
      <c r="I85" s="3" t="s">
        <v>150</v>
      </c>
    </row>
    <row r="86" spans="1:9" x14ac:dyDescent="0.25">
      <c r="A86" t="s">
        <v>149</v>
      </c>
      <c r="B86" s="3" t="s">
        <v>136</v>
      </c>
      <c r="C86" s="3" t="s">
        <v>160</v>
      </c>
      <c r="D86" s="8">
        <v>44</v>
      </c>
      <c r="E86" s="21">
        <v>39</v>
      </c>
      <c r="F86" s="21">
        <v>48</v>
      </c>
      <c r="G86" s="15">
        <v>1240</v>
      </c>
      <c r="H86" s="15">
        <v>22139773</v>
      </c>
      <c r="I86" s="3" t="s">
        <v>150</v>
      </c>
    </row>
    <row r="87" spans="1:9" x14ac:dyDescent="0.25">
      <c r="A87" t="s">
        <v>149</v>
      </c>
      <c r="B87" s="3" t="s">
        <v>136</v>
      </c>
      <c r="C87" s="3" t="s">
        <v>161</v>
      </c>
      <c r="D87" s="8">
        <v>31</v>
      </c>
      <c r="E87" s="21">
        <v>27</v>
      </c>
      <c r="F87" s="21">
        <v>34</v>
      </c>
      <c r="G87" s="15">
        <v>1240</v>
      </c>
      <c r="H87" s="15">
        <v>22139773</v>
      </c>
      <c r="I87" s="3" t="s">
        <v>150</v>
      </c>
    </row>
    <row r="88" spans="1:9" x14ac:dyDescent="0.25">
      <c r="A88" t="s">
        <v>149</v>
      </c>
      <c r="B88" s="3" t="s">
        <v>136</v>
      </c>
      <c r="C88" s="3" t="s">
        <v>162</v>
      </c>
      <c r="D88" s="8">
        <v>1</v>
      </c>
      <c r="E88" s="21">
        <v>0</v>
      </c>
      <c r="F88" s="21">
        <v>2</v>
      </c>
      <c r="G88" s="15">
        <v>1240</v>
      </c>
      <c r="H88" s="15">
        <v>22139773</v>
      </c>
      <c r="I88" s="3" t="s">
        <v>150</v>
      </c>
    </row>
    <row r="89" spans="1:9" x14ac:dyDescent="0.25">
      <c r="A89" t="s">
        <v>149</v>
      </c>
      <c r="B89" s="3" t="s">
        <v>136</v>
      </c>
      <c r="C89" s="3" t="s">
        <v>163</v>
      </c>
      <c r="D89" s="8">
        <v>22</v>
      </c>
      <c r="E89" s="21">
        <v>18</v>
      </c>
      <c r="F89" s="21">
        <v>25</v>
      </c>
      <c r="G89" s="15">
        <v>1240</v>
      </c>
      <c r="H89" s="15">
        <v>22139773</v>
      </c>
      <c r="I89" s="3" t="s">
        <v>150</v>
      </c>
    </row>
    <row r="90" spans="1:9" x14ac:dyDescent="0.25">
      <c r="A90" t="s">
        <v>149</v>
      </c>
      <c r="B90" s="3" t="s">
        <v>136</v>
      </c>
      <c r="C90" s="3" t="s">
        <v>164</v>
      </c>
      <c r="D90" s="3">
        <v>78</v>
      </c>
      <c r="E90">
        <v>75</v>
      </c>
      <c r="F90">
        <v>82</v>
      </c>
      <c r="G90" s="15">
        <v>1240</v>
      </c>
      <c r="H90" s="15">
        <v>22139773</v>
      </c>
      <c r="I90" s="60" t="s">
        <v>166</v>
      </c>
    </row>
    <row r="91" spans="1:9" ht="35.4" customHeight="1" x14ac:dyDescent="0.25">
      <c r="A91" t="s">
        <v>149</v>
      </c>
      <c r="B91" s="3" t="s">
        <v>133</v>
      </c>
      <c r="C91" s="3" t="s">
        <v>155</v>
      </c>
      <c r="D91" s="8">
        <v>22</v>
      </c>
      <c r="E91" s="21">
        <v>18</v>
      </c>
      <c r="F91" s="21">
        <v>25</v>
      </c>
      <c r="G91" s="15">
        <v>1410</v>
      </c>
      <c r="H91" s="15">
        <v>21217681</v>
      </c>
      <c r="I91" s="3" t="s">
        <v>150</v>
      </c>
    </row>
    <row r="92" spans="1:9" x14ac:dyDescent="0.25">
      <c r="A92" t="s">
        <v>149</v>
      </c>
      <c r="B92" s="3" t="s">
        <v>133</v>
      </c>
      <c r="C92" s="3" t="s">
        <v>156</v>
      </c>
      <c r="D92" s="8">
        <v>13</v>
      </c>
      <c r="E92" s="21">
        <v>11</v>
      </c>
      <c r="F92" s="21">
        <v>16</v>
      </c>
      <c r="G92" s="15">
        <v>1410</v>
      </c>
      <c r="H92" s="15">
        <v>21217681</v>
      </c>
      <c r="I92" s="3" t="s">
        <v>150</v>
      </c>
    </row>
    <row r="93" spans="1:9" x14ac:dyDescent="0.25">
      <c r="A93" t="s">
        <v>149</v>
      </c>
      <c r="B93" s="3" t="s">
        <v>133</v>
      </c>
      <c r="C93" s="3" t="s">
        <v>157</v>
      </c>
      <c r="D93" s="8">
        <v>23</v>
      </c>
      <c r="E93" s="21">
        <v>20</v>
      </c>
      <c r="F93" s="21">
        <v>26</v>
      </c>
      <c r="G93" s="15">
        <v>1410</v>
      </c>
      <c r="H93" s="15">
        <v>21217681</v>
      </c>
      <c r="I93" s="3" t="s">
        <v>150</v>
      </c>
    </row>
    <row r="94" spans="1:9" x14ac:dyDescent="0.25">
      <c r="A94" t="s">
        <v>149</v>
      </c>
      <c r="B94" s="3" t="s">
        <v>133</v>
      </c>
      <c r="C94" s="3" t="s">
        <v>158</v>
      </c>
      <c r="D94" s="8">
        <v>13</v>
      </c>
      <c r="E94" s="21">
        <v>10</v>
      </c>
      <c r="F94" s="21">
        <v>16</v>
      </c>
      <c r="G94" s="15">
        <v>1410</v>
      </c>
      <c r="H94" s="15">
        <v>21217681</v>
      </c>
      <c r="I94" s="3" t="s">
        <v>150</v>
      </c>
    </row>
    <row r="95" spans="1:9" x14ac:dyDescent="0.25">
      <c r="A95" t="s">
        <v>149</v>
      </c>
      <c r="B95" s="3" t="s">
        <v>133</v>
      </c>
      <c r="C95" s="3" t="s">
        <v>159</v>
      </c>
      <c r="D95" s="8">
        <v>22</v>
      </c>
      <c r="E95" s="21">
        <v>19</v>
      </c>
      <c r="F95" s="21">
        <v>26</v>
      </c>
      <c r="G95" s="15">
        <v>1410</v>
      </c>
      <c r="H95" s="15">
        <v>21217681</v>
      </c>
      <c r="I95" s="3" t="s">
        <v>150</v>
      </c>
    </row>
    <row r="96" spans="1:9" x14ac:dyDescent="0.25">
      <c r="A96" t="s">
        <v>149</v>
      </c>
      <c r="B96" s="3" t="s">
        <v>133</v>
      </c>
      <c r="C96" s="3" t="s">
        <v>160</v>
      </c>
      <c r="D96" s="8">
        <v>16</v>
      </c>
      <c r="E96" s="21">
        <v>13</v>
      </c>
      <c r="F96" s="21">
        <v>19</v>
      </c>
      <c r="G96" s="15">
        <v>1410</v>
      </c>
      <c r="H96" s="15">
        <v>21217681</v>
      </c>
      <c r="I96" s="3" t="s">
        <v>150</v>
      </c>
    </row>
    <row r="97" spans="1:9" x14ac:dyDescent="0.25">
      <c r="A97" t="s">
        <v>149</v>
      </c>
      <c r="B97" s="3" t="s">
        <v>133</v>
      </c>
      <c r="C97" s="3" t="s">
        <v>161</v>
      </c>
      <c r="D97" s="8">
        <v>13</v>
      </c>
      <c r="E97" s="21">
        <v>10</v>
      </c>
      <c r="F97" s="21">
        <v>15</v>
      </c>
      <c r="G97" s="15">
        <v>1410</v>
      </c>
      <c r="H97" s="15">
        <v>21217681</v>
      </c>
      <c r="I97" s="3" t="s">
        <v>150</v>
      </c>
    </row>
    <row r="98" spans="1:9" x14ac:dyDescent="0.25">
      <c r="A98" t="s">
        <v>149</v>
      </c>
      <c r="B98" s="3" t="s">
        <v>133</v>
      </c>
      <c r="C98" s="3" t="s">
        <v>162</v>
      </c>
      <c r="D98" s="8">
        <v>2</v>
      </c>
      <c r="E98" s="21">
        <v>1</v>
      </c>
      <c r="F98" s="21">
        <v>3</v>
      </c>
      <c r="G98" s="15">
        <v>1410</v>
      </c>
      <c r="H98" s="15">
        <v>21217681</v>
      </c>
      <c r="I98" s="3" t="s">
        <v>150</v>
      </c>
    </row>
    <row r="99" spans="1:9" x14ac:dyDescent="0.25">
      <c r="A99" t="s">
        <v>149</v>
      </c>
      <c r="B99" s="3" t="s">
        <v>133</v>
      </c>
      <c r="C99" s="3" t="s">
        <v>163</v>
      </c>
      <c r="D99" s="8">
        <v>56</v>
      </c>
      <c r="E99" s="21">
        <v>51</v>
      </c>
      <c r="F99" s="21">
        <v>60</v>
      </c>
      <c r="G99" s="15">
        <v>1410</v>
      </c>
      <c r="H99" s="15">
        <v>21217681</v>
      </c>
      <c r="I99" s="3" t="s">
        <v>150</v>
      </c>
    </row>
    <row r="100" spans="1:9" x14ac:dyDescent="0.25">
      <c r="A100" t="s">
        <v>149</v>
      </c>
      <c r="B100" s="3" t="s">
        <v>133</v>
      </c>
      <c r="C100" s="3" t="s">
        <v>164</v>
      </c>
      <c r="D100" s="3">
        <v>44</v>
      </c>
      <c r="E100">
        <v>40</v>
      </c>
      <c r="F100">
        <v>49</v>
      </c>
      <c r="G100" s="15">
        <v>1410</v>
      </c>
      <c r="H100" s="15">
        <v>21217681</v>
      </c>
      <c r="I100" s="60" t="s">
        <v>166</v>
      </c>
    </row>
    <row r="101" spans="1:9" ht="35.4" customHeight="1" x14ac:dyDescent="0.25">
      <c r="A101" t="s">
        <v>149</v>
      </c>
      <c r="B101" s="3" t="s">
        <v>138</v>
      </c>
      <c r="C101" s="3" t="s">
        <v>155</v>
      </c>
      <c r="D101" s="8">
        <v>7</v>
      </c>
      <c r="E101" s="21">
        <v>3</v>
      </c>
      <c r="F101" s="21">
        <v>11</v>
      </c>
      <c r="G101" s="15">
        <v>610</v>
      </c>
      <c r="H101" s="15">
        <v>10727276</v>
      </c>
      <c r="I101" s="3" t="s">
        <v>150</v>
      </c>
    </row>
    <row r="102" spans="1:9" x14ac:dyDescent="0.25">
      <c r="A102" t="s">
        <v>149</v>
      </c>
      <c r="B102" s="3" t="s">
        <v>138</v>
      </c>
      <c r="C102" s="3" t="s">
        <v>156</v>
      </c>
      <c r="D102" s="8">
        <v>9</v>
      </c>
      <c r="E102" s="21">
        <v>5</v>
      </c>
      <c r="F102" s="21">
        <v>14</v>
      </c>
      <c r="G102" s="15">
        <v>610</v>
      </c>
      <c r="H102" s="15">
        <v>10727276</v>
      </c>
      <c r="I102" s="3" t="s">
        <v>150</v>
      </c>
    </row>
    <row r="103" spans="1:9" x14ac:dyDescent="0.25">
      <c r="A103" t="s">
        <v>149</v>
      </c>
      <c r="B103" s="3" t="s">
        <v>138</v>
      </c>
      <c r="C103" s="3" t="s">
        <v>157</v>
      </c>
      <c r="D103" s="8">
        <v>13</v>
      </c>
      <c r="E103" s="21">
        <v>8</v>
      </c>
      <c r="F103" s="21">
        <v>17</v>
      </c>
      <c r="G103" s="15">
        <v>610</v>
      </c>
      <c r="H103" s="15">
        <v>10727276</v>
      </c>
      <c r="I103" s="3" t="s">
        <v>150</v>
      </c>
    </row>
    <row r="104" spans="1:9" x14ac:dyDescent="0.25">
      <c r="A104" t="s">
        <v>149</v>
      </c>
      <c r="B104" s="3" t="s">
        <v>138</v>
      </c>
      <c r="C104" s="3" t="s">
        <v>158</v>
      </c>
      <c r="D104" s="8">
        <v>4</v>
      </c>
      <c r="E104" s="21">
        <v>1</v>
      </c>
      <c r="F104" s="21">
        <v>7</v>
      </c>
      <c r="G104" s="15">
        <v>610</v>
      </c>
      <c r="H104" s="15">
        <v>10727276</v>
      </c>
      <c r="I104" s="3" t="s">
        <v>150</v>
      </c>
    </row>
    <row r="105" spans="1:9" x14ac:dyDescent="0.25">
      <c r="A105" t="s">
        <v>149</v>
      </c>
      <c r="B105" s="3" t="s">
        <v>138</v>
      </c>
      <c r="C105" s="3" t="s">
        <v>159</v>
      </c>
      <c r="D105" s="8">
        <v>12</v>
      </c>
      <c r="E105" s="21">
        <v>8</v>
      </c>
      <c r="F105" s="21">
        <v>17</v>
      </c>
      <c r="G105" s="15">
        <v>610</v>
      </c>
      <c r="H105" s="15">
        <v>10727276</v>
      </c>
      <c r="I105" s="3" t="s">
        <v>150</v>
      </c>
    </row>
    <row r="106" spans="1:9" x14ac:dyDescent="0.25">
      <c r="A106" t="s">
        <v>149</v>
      </c>
      <c r="B106" s="3" t="s">
        <v>138</v>
      </c>
      <c r="C106" s="3" t="s">
        <v>160</v>
      </c>
      <c r="D106" s="8">
        <v>4</v>
      </c>
      <c r="E106" s="21">
        <v>1</v>
      </c>
      <c r="F106" s="21">
        <v>7</v>
      </c>
      <c r="G106" s="15">
        <v>610</v>
      </c>
      <c r="H106" s="15">
        <v>10727276</v>
      </c>
      <c r="I106" s="3" t="s">
        <v>150</v>
      </c>
    </row>
    <row r="107" spans="1:9" x14ac:dyDescent="0.25">
      <c r="A107" t="s">
        <v>149</v>
      </c>
      <c r="B107" s="3" t="s">
        <v>138</v>
      </c>
      <c r="C107" s="3" t="s">
        <v>161</v>
      </c>
      <c r="D107" s="8">
        <v>10</v>
      </c>
      <c r="E107" s="21">
        <v>6</v>
      </c>
      <c r="F107" s="21">
        <v>14</v>
      </c>
      <c r="G107" s="15">
        <v>610</v>
      </c>
      <c r="H107" s="15">
        <v>10727276</v>
      </c>
      <c r="I107" s="3" t="s">
        <v>150</v>
      </c>
    </row>
    <row r="108" spans="1:9" x14ac:dyDescent="0.25">
      <c r="A108" t="s">
        <v>149</v>
      </c>
      <c r="B108" s="3" t="s">
        <v>138</v>
      </c>
      <c r="C108" s="3" t="s">
        <v>162</v>
      </c>
      <c r="D108" s="17" t="s">
        <v>167</v>
      </c>
      <c r="E108" s="21">
        <v>0</v>
      </c>
      <c r="F108" s="21">
        <v>1</v>
      </c>
      <c r="G108" s="15">
        <v>610</v>
      </c>
      <c r="H108" s="15">
        <v>10727276</v>
      </c>
      <c r="I108" s="3" t="s">
        <v>150</v>
      </c>
    </row>
    <row r="109" spans="1:9" x14ac:dyDescent="0.25">
      <c r="A109" t="s">
        <v>149</v>
      </c>
      <c r="B109" s="3" t="s">
        <v>138</v>
      </c>
      <c r="C109" s="3" t="s">
        <v>163</v>
      </c>
      <c r="D109" s="8">
        <v>78</v>
      </c>
      <c r="E109" s="21">
        <v>73</v>
      </c>
      <c r="F109" s="21">
        <v>84</v>
      </c>
      <c r="G109" s="15">
        <v>610</v>
      </c>
      <c r="H109" s="15">
        <v>10727276</v>
      </c>
      <c r="I109" s="3" t="s">
        <v>150</v>
      </c>
    </row>
    <row r="110" spans="1:9" x14ac:dyDescent="0.25">
      <c r="A110" t="s">
        <v>149</v>
      </c>
      <c r="B110" s="3" t="s">
        <v>138</v>
      </c>
      <c r="C110" s="3" t="s">
        <v>164</v>
      </c>
      <c r="D110" s="3">
        <v>22</v>
      </c>
      <c r="E110">
        <v>16</v>
      </c>
      <c r="F110">
        <v>27</v>
      </c>
      <c r="G110">
        <v>610</v>
      </c>
      <c r="H110" s="15">
        <v>10727276</v>
      </c>
      <c r="I110" s="60" t="s">
        <v>166</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1"/>
  <sheetViews>
    <sheetView workbookViewId="0"/>
  </sheetViews>
  <sheetFormatPr defaultColWidth="11.54296875" defaultRowHeight="15" x14ac:dyDescent="0.25"/>
  <cols>
    <col min="1" max="1" width="13.1796875" customWidth="1"/>
    <col min="2" max="2" width="25.36328125" customWidth="1"/>
    <col min="3" max="3" width="34.6328125" customWidth="1"/>
    <col min="4" max="9" width="16.6328125" customWidth="1"/>
  </cols>
  <sheetData>
    <row r="1" spans="1:9" ht="19.2" customHeight="1" x14ac:dyDescent="0.4">
      <c r="A1" s="62" t="s">
        <v>168</v>
      </c>
    </row>
    <row r="2" spans="1:9" ht="16.8" x14ac:dyDescent="0.3">
      <c r="A2" s="22" t="s">
        <v>118</v>
      </c>
    </row>
    <row r="3" spans="1:9" x14ac:dyDescent="0.25">
      <c r="A3" t="s">
        <v>38</v>
      </c>
    </row>
    <row r="4" spans="1:9" x14ac:dyDescent="0.25">
      <c r="A4" t="s">
        <v>119</v>
      </c>
    </row>
    <row r="5" spans="1:9" x14ac:dyDescent="0.25">
      <c r="A5" t="s">
        <v>120</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121</v>
      </c>
    </row>
    <row r="9" spans="1:9" ht="15.6" x14ac:dyDescent="0.3">
      <c r="A9" s="12" t="s">
        <v>198</v>
      </c>
    </row>
    <row r="10" spans="1:9" ht="15.6" x14ac:dyDescent="0.3">
      <c r="A10" s="12" t="s">
        <v>1</v>
      </c>
    </row>
    <row r="11" spans="1:9" ht="31.2" x14ac:dyDescent="0.3">
      <c r="A11" s="9" t="s">
        <v>123</v>
      </c>
      <c r="B11" s="9" t="s">
        <v>124</v>
      </c>
      <c r="C11" s="9" t="s">
        <v>125</v>
      </c>
      <c r="D11" s="10" t="s">
        <v>126</v>
      </c>
      <c r="E11" s="10" t="s">
        <v>127</v>
      </c>
      <c r="F11" s="10" t="s">
        <v>128</v>
      </c>
      <c r="G11" s="10" t="s">
        <v>21</v>
      </c>
      <c r="H11" s="10" t="s">
        <v>18</v>
      </c>
      <c r="I11" s="9" t="s">
        <v>47</v>
      </c>
    </row>
    <row r="12" spans="1:9" x14ac:dyDescent="0.25">
      <c r="A12" s="3" t="s">
        <v>129</v>
      </c>
      <c r="B12" s="3" t="s">
        <v>130</v>
      </c>
      <c r="C12" s="3" t="s">
        <v>131</v>
      </c>
      <c r="D12" s="8">
        <v>7</v>
      </c>
      <c r="E12" s="21">
        <v>5</v>
      </c>
      <c r="F12" s="21">
        <v>8</v>
      </c>
      <c r="G12" s="15">
        <v>3280</v>
      </c>
      <c r="H12" s="15">
        <v>54430853</v>
      </c>
      <c r="I12" s="3"/>
    </row>
    <row r="13" spans="1:9" x14ac:dyDescent="0.25">
      <c r="A13" s="3" t="s">
        <v>129</v>
      </c>
      <c r="B13" s="3" t="s">
        <v>130</v>
      </c>
      <c r="C13" s="3" t="s">
        <v>132</v>
      </c>
      <c r="D13" s="8">
        <v>33</v>
      </c>
      <c r="E13" s="21">
        <v>30</v>
      </c>
      <c r="F13" s="21">
        <v>35</v>
      </c>
      <c r="G13" s="15">
        <v>3280</v>
      </c>
      <c r="H13" s="15">
        <v>54430853</v>
      </c>
      <c r="I13" s="3"/>
    </row>
    <row r="14" spans="1:9" x14ac:dyDescent="0.25">
      <c r="A14" s="3" t="s">
        <v>129</v>
      </c>
      <c r="B14" s="3" t="s">
        <v>130</v>
      </c>
      <c r="C14" s="3" t="s">
        <v>133</v>
      </c>
      <c r="D14" s="8">
        <v>30</v>
      </c>
      <c r="E14" s="21">
        <v>27</v>
      </c>
      <c r="F14" s="21">
        <v>32</v>
      </c>
      <c r="G14" s="15">
        <v>3280</v>
      </c>
      <c r="H14" s="15">
        <v>54430853</v>
      </c>
      <c r="I14" s="3"/>
    </row>
    <row r="15" spans="1:9" x14ac:dyDescent="0.25">
      <c r="A15" s="3" t="s">
        <v>129</v>
      </c>
      <c r="B15" s="3" t="s">
        <v>130</v>
      </c>
      <c r="C15" s="3" t="s">
        <v>134</v>
      </c>
      <c r="D15" s="8">
        <v>18</v>
      </c>
      <c r="E15" s="21">
        <v>15</v>
      </c>
      <c r="F15" s="21">
        <v>20</v>
      </c>
      <c r="G15" s="15">
        <v>3280</v>
      </c>
      <c r="H15" s="15">
        <v>54430853</v>
      </c>
      <c r="I15" s="3"/>
    </row>
    <row r="16" spans="1:9" x14ac:dyDescent="0.25">
      <c r="A16" s="3" t="s">
        <v>129</v>
      </c>
      <c r="B16" s="3" t="s">
        <v>130</v>
      </c>
      <c r="C16" s="3" t="s">
        <v>135</v>
      </c>
      <c r="D16" s="8">
        <v>13</v>
      </c>
      <c r="E16" s="21">
        <v>11</v>
      </c>
      <c r="F16" s="21">
        <v>15</v>
      </c>
      <c r="G16" s="15">
        <v>3280</v>
      </c>
      <c r="H16" s="15">
        <v>54430853</v>
      </c>
      <c r="I16" s="3"/>
    </row>
    <row r="17" spans="1:9" x14ac:dyDescent="0.25">
      <c r="A17" s="3" t="s">
        <v>129</v>
      </c>
      <c r="B17" s="3" t="s">
        <v>130</v>
      </c>
      <c r="C17" s="3" t="s">
        <v>136</v>
      </c>
      <c r="D17" s="8">
        <v>39</v>
      </c>
      <c r="E17" s="21">
        <v>37</v>
      </c>
      <c r="F17" s="21">
        <v>42</v>
      </c>
      <c r="G17" s="15">
        <v>3280</v>
      </c>
      <c r="H17" s="15">
        <v>54430853</v>
      </c>
      <c r="I17" s="3" t="s">
        <v>137</v>
      </c>
    </row>
    <row r="18" spans="1:9" x14ac:dyDescent="0.25">
      <c r="A18" s="3" t="s">
        <v>129</v>
      </c>
      <c r="B18" s="3" t="s">
        <v>130</v>
      </c>
      <c r="C18" s="3" t="s">
        <v>138</v>
      </c>
      <c r="D18" s="8">
        <v>31</v>
      </c>
      <c r="E18" s="21">
        <v>28</v>
      </c>
      <c r="F18" s="21">
        <v>33</v>
      </c>
      <c r="G18" s="15">
        <v>3280</v>
      </c>
      <c r="H18" s="15">
        <v>54430853</v>
      </c>
      <c r="I18" s="3" t="s">
        <v>137</v>
      </c>
    </row>
    <row r="19" spans="1:9" ht="35.4" customHeight="1" x14ac:dyDescent="0.25">
      <c r="A19" s="3" t="s">
        <v>139</v>
      </c>
      <c r="B19" s="3" t="s">
        <v>140</v>
      </c>
      <c r="C19" s="3" t="s">
        <v>131</v>
      </c>
      <c r="D19" s="8">
        <v>5</v>
      </c>
      <c r="E19" s="21">
        <v>2</v>
      </c>
      <c r="F19" s="21">
        <v>8</v>
      </c>
      <c r="G19" s="15">
        <v>230</v>
      </c>
      <c r="H19" s="15">
        <v>11309819</v>
      </c>
      <c r="I19" s="3"/>
    </row>
    <row r="20" spans="1:9" x14ac:dyDescent="0.25">
      <c r="A20" s="3" t="s">
        <v>139</v>
      </c>
      <c r="B20" s="3" t="s">
        <v>140</v>
      </c>
      <c r="C20" s="3" t="s">
        <v>132</v>
      </c>
      <c r="D20" s="8">
        <v>37</v>
      </c>
      <c r="E20" s="21">
        <v>29</v>
      </c>
      <c r="F20" s="21">
        <v>44</v>
      </c>
      <c r="G20" s="15">
        <v>230</v>
      </c>
      <c r="H20" s="15">
        <v>11309819</v>
      </c>
      <c r="I20" s="3"/>
    </row>
    <row r="21" spans="1:9" x14ac:dyDescent="0.25">
      <c r="A21" s="3" t="s">
        <v>139</v>
      </c>
      <c r="B21" s="3" t="s">
        <v>140</v>
      </c>
      <c r="C21" s="3" t="s">
        <v>133</v>
      </c>
      <c r="D21" s="8">
        <v>26</v>
      </c>
      <c r="E21" s="21">
        <v>20</v>
      </c>
      <c r="F21" s="21">
        <v>33</v>
      </c>
      <c r="G21" s="15">
        <v>230</v>
      </c>
      <c r="H21" s="15">
        <v>11309819</v>
      </c>
      <c r="I21" s="3"/>
    </row>
    <row r="22" spans="1:9" x14ac:dyDescent="0.25">
      <c r="A22" s="3" t="s">
        <v>139</v>
      </c>
      <c r="B22" s="3" t="s">
        <v>140</v>
      </c>
      <c r="C22" s="3" t="s">
        <v>134</v>
      </c>
      <c r="D22" s="8">
        <v>21</v>
      </c>
      <c r="E22" s="21">
        <v>15</v>
      </c>
      <c r="F22" s="21">
        <v>27</v>
      </c>
      <c r="G22" s="15">
        <v>230</v>
      </c>
      <c r="H22" s="15">
        <v>11309819</v>
      </c>
      <c r="I22" s="3"/>
    </row>
    <row r="23" spans="1:9" x14ac:dyDescent="0.25">
      <c r="A23" s="3" t="s">
        <v>139</v>
      </c>
      <c r="B23" s="3" t="s">
        <v>140</v>
      </c>
      <c r="C23" s="3" t="s">
        <v>135</v>
      </c>
      <c r="D23" s="8">
        <v>11</v>
      </c>
      <c r="E23" s="21">
        <v>7</v>
      </c>
      <c r="F23" s="21">
        <v>16</v>
      </c>
      <c r="G23" s="15">
        <v>230</v>
      </c>
      <c r="H23" s="15">
        <v>11309819</v>
      </c>
      <c r="I23" s="3"/>
    </row>
    <row r="24" spans="1:9" x14ac:dyDescent="0.25">
      <c r="A24" s="3" t="s">
        <v>139</v>
      </c>
      <c r="B24" s="3" t="s">
        <v>140</v>
      </c>
      <c r="C24" s="3" t="s">
        <v>136</v>
      </c>
      <c r="D24" s="8">
        <v>42</v>
      </c>
      <c r="E24" s="21">
        <v>34</v>
      </c>
      <c r="F24" s="21">
        <v>49</v>
      </c>
      <c r="G24" s="15">
        <v>230</v>
      </c>
      <c r="H24" s="15">
        <v>11309819</v>
      </c>
      <c r="I24" s="3" t="s">
        <v>137</v>
      </c>
    </row>
    <row r="25" spans="1:9" x14ac:dyDescent="0.25">
      <c r="A25" s="3" t="s">
        <v>139</v>
      </c>
      <c r="B25" s="3" t="s">
        <v>140</v>
      </c>
      <c r="C25" s="3" t="s">
        <v>138</v>
      </c>
      <c r="D25" s="8">
        <v>32</v>
      </c>
      <c r="E25" s="21">
        <v>25</v>
      </c>
      <c r="F25" s="21">
        <v>39</v>
      </c>
      <c r="G25" s="15">
        <v>230</v>
      </c>
      <c r="H25" s="15">
        <v>11309819</v>
      </c>
      <c r="I25" s="3" t="s">
        <v>137</v>
      </c>
    </row>
    <row r="26" spans="1:9" ht="35.4" customHeight="1" x14ac:dyDescent="0.25">
      <c r="A26" s="3" t="s">
        <v>139</v>
      </c>
      <c r="B26" s="3" t="s">
        <v>141</v>
      </c>
      <c r="C26" s="3" t="s">
        <v>131</v>
      </c>
      <c r="D26" s="8">
        <v>12</v>
      </c>
      <c r="E26" s="21">
        <v>9</v>
      </c>
      <c r="F26" s="21">
        <v>16</v>
      </c>
      <c r="G26" s="15">
        <v>450</v>
      </c>
      <c r="H26" s="15">
        <v>17211750</v>
      </c>
      <c r="I26" s="3"/>
    </row>
    <row r="27" spans="1:9" x14ac:dyDescent="0.25">
      <c r="A27" s="3" t="s">
        <v>139</v>
      </c>
      <c r="B27" s="3" t="s">
        <v>141</v>
      </c>
      <c r="C27" s="3" t="s">
        <v>132</v>
      </c>
      <c r="D27" s="8">
        <v>35</v>
      </c>
      <c r="E27" s="21">
        <v>30</v>
      </c>
      <c r="F27" s="21">
        <v>40</v>
      </c>
      <c r="G27" s="15">
        <v>450</v>
      </c>
      <c r="H27" s="15">
        <v>17211750</v>
      </c>
      <c r="I27" s="3"/>
    </row>
    <row r="28" spans="1:9" x14ac:dyDescent="0.25">
      <c r="A28" s="3" t="s">
        <v>139</v>
      </c>
      <c r="B28" s="3" t="s">
        <v>141</v>
      </c>
      <c r="C28" s="3" t="s">
        <v>133</v>
      </c>
      <c r="D28" s="8">
        <v>27</v>
      </c>
      <c r="E28" s="21">
        <v>22</v>
      </c>
      <c r="F28" s="21">
        <v>32</v>
      </c>
      <c r="G28" s="15">
        <v>450</v>
      </c>
      <c r="H28" s="15">
        <v>17211750</v>
      </c>
      <c r="I28" s="3"/>
    </row>
    <row r="29" spans="1:9" x14ac:dyDescent="0.25">
      <c r="A29" s="3" t="s">
        <v>139</v>
      </c>
      <c r="B29" s="3" t="s">
        <v>141</v>
      </c>
      <c r="C29" s="3" t="s">
        <v>134</v>
      </c>
      <c r="D29" s="8">
        <v>12</v>
      </c>
      <c r="E29" s="21">
        <v>8</v>
      </c>
      <c r="F29" s="21">
        <v>16</v>
      </c>
      <c r="G29" s="15">
        <v>450</v>
      </c>
      <c r="H29" s="15">
        <v>17211750</v>
      </c>
      <c r="I29" s="3"/>
    </row>
    <row r="30" spans="1:9" x14ac:dyDescent="0.25">
      <c r="A30" s="3" t="s">
        <v>139</v>
      </c>
      <c r="B30" s="3" t="s">
        <v>141</v>
      </c>
      <c r="C30" s="3" t="s">
        <v>135</v>
      </c>
      <c r="D30" s="8">
        <v>14</v>
      </c>
      <c r="E30" s="21">
        <v>10</v>
      </c>
      <c r="F30" s="21">
        <v>18</v>
      </c>
      <c r="G30" s="15">
        <v>450</v>
      </c>
      <c r="H30" s="15">
        <v>17211750</v>
      </c>
      <c r="I30" s="3"/>
    </row>
    <row r="31" spans="1:9" x14ac:dyDescent="0.25">
      <c r="A31" s="3" t="s">
        <v>139</v>
      </c>
      <c r="B31" s="3" t="s">
        <v>141</v>
      </c>
      <c r="C31" s="3" t="s">
        <v>136</v>
      </c>
      <c r="D31" s="8">
        <v>47</v>
      </c>
      <c r="E31" s="21">
        <v>42</v>
      </c>
      <c r="F31" s="21">
        <v>53</v>
      </c>
      <c r="G31" s="15">
        <v>450</v>
      </c>
      <c r="H31" s="15">
        <v>17211750</v>
      </c>
      <c r="I31" s="3" t="s">
        <v>137</v>
      </c>
    </row>
    <row r="32" spans="1:9" x14ac:dyDescent="0.25">
      <c r="A32" s="3" t="s">
        <v>139</v>
      </c>
      <c r="B32" s="3" t="s">
        <v>141</v>
      </c>
      <c r="C32" s="3" t="s">
        <v>138</v>
      </c>
      <c r="D32" s="8">
        <v>26</v>
      </c>
      <c r="E32" s="21">
        <v>21</v>
      </c>
      <c r="F32" s="21">
        <v>31</v>
      </c>
      <c r="G32" s="15">
        <v>450</v>
      </c>
      <c r="H32" s="15">
        <v>17211750</v>
      </c>
      <c r="I32" s="3" t="s">
        <v>137</v>
      </c>
    </row>
    <row r="33" spans="1:9" ht="35.4" customHeight="1" x14ac:dyDescent="0.25">
      <c r="A33" s="3" t="s">
        <v>139</v>
      </c>
      <c r="B33" s="3" t="s">
        <v>142</v>
      </c>
      <c r="C33" s="3" t="s">
        <v>131</v>
      </c>
      <c r="D33" s="8">
        <v>4</v>
      </c>
      <c r="E33" s="21">
        <v>2</v>
      </c>
      <c r="F33" s="21">
        <v>5</v>
      </c>
      <c r="G33" s="15">
        <v>1160</v>
      </c>
      <c r="H33" s="15">
        <v>16824194</v>
      </c>
      <c r="I33" s="3"/>
    </row>
    <row r="34" spans="1:9" x14ac:dyDescent="0.25">
      <c r="A34" s="3" t="s">
        <v>139</v>
      </c>
      <c r="B34" s="3" t="s">
        <v>142</v>
      </c>
      <c r="C34" s="3" t="s">
        <v>132</v>
      </c>
      <c r="D34" s="8">
        <v>31</v>
      </c>
      <c r="E34" s="21">
        <v>28</v>
      </c>
      <c r="F34" s="21">
        <v>35</v>
      </c>
      <c r="G34" s="15">
        <v>1160</v>
      </c>
      <c r="H34" s="15">
        <v>16824194</v>
      </c>
      <c r="I34" s="3"/>
    </row>
    <row r="35" spans="1:9" x14ac:dyDescent="0.25">
      <c r="A35" s="3" t="s">
        <v>139</v>
      </c>
      <c r="B35" s="3" t="s">
        <v>142</v>
      </c>
      <c r="C35" s="3" t="s">
        <v>133</v>
      </c>
      <c r="D35" s="8">
        <v>31</v>
      </c>
      <c r="E35" s="21">
        <v>27</v>
      </c>
      <c r="F35" s="21">
        <v>35</v>
      </c>
      <c r="G35" s="15">
        <v>1160</v>
      </c>
      <c r="H35" s="15">
        <v>16824194</v>
      </c>
      <c r="I35" s="3"/>
    </row>
    <row r="36" spans="1:9" x14ac:dyDescent="0.25">
      <c r="A36" s="3" t="s">
        <v>139</v>
      </c>
      <c r="B36" s="3" t="s">
        <v>142</v>
      </c>
      <c r="C36" s="3" t="s">
        <v>134</v>
      </c>
      <c r="D36" s="8">
        <v>20</v>
      </c>
      <c r="E36" s="21">
        <v>16</v>
      </c>
      <c r="F36" s="21">
        <v>23</v>
      </c>
      <c r="G36" s="15">
        <v>1160</v>
      </c>
      <c r="H36" s="15">
        <v>16824194</v>
      </c>
      <c r="I36" s="3"/>
    </row>
    <row r="37" spans="1:9" x14ac:dyDescent="0.25">
      <c r="A37" s="3" t="s">
        <v>139</v>
      </c>
      <c r="B37" s="3" t="s">
        <v>142</v>
      </c>
      <c r="C37" s="3" t="s">
        <v>135</v>
      </c>
      <c r="D37" s="8">
        <v>14</v>
      </c>
      <c r="E37" s="21">
        <v>11</v>
      </c>
      <c r="F37" s="21">
        <v>17</v>
      </c>
      <c r="G37" s="15">
        <v>1160</v>
      </c>
      <c r="H37" s="15">
        <v>16824194</v>
      </c>
      <c r="I37" s="3"/>
    </row>
    <row r="38" spans="1:9" x14ac:dyDescent="0.25">
      <c r="A38" s="3" t="s">
        <v>139</v>
      </c>
      <c r="B38" s="3" t="s">
        <v>142</v>
      </c>
      <c r="C38" s="3" t="s">
        <v>136</v>
      </c>
      <c r="D38" s="8">
        <v>35</v>
      </c>
      <c r="E38" s="21">
        <v>31</v>
      </c>
      <c r="F38" s="21">
        <v>39</v>
      </c>
      <c r="G38" s="15">
        <v>1160</v>
      </c>
      <c r="H38" s="15">
        <v>16824194</v>
      </c>
      <c r="I38" s="3" t="s">
        <v>137</v>
      </c>
    </row>
    <row r="39" spans="1:9" x14ac:dyDescent="0.25">
      <c r="A39" s="3" t="s">
        <v>139</v>
      </c>
      <c r="B39" s="3" t="s">
        <v>142</v>
      </c>
      <c r="C39" s="3" t="s">
        <v>138</v>
      </c>
      <c r="D39" s="8">
        <v>34</v>
      </c>
      <c r="E39" s="21">
        <v>30</v>
      </c>
      <c r="F39" s="21">
        <v>38</v>
      </c>
      <c r="G39" s="15">
        <v>1160</v>
      </c>
      <c r="H39" s="15">
        <v>16824194</v>
      </c>
      <c r="I39" s="3" t="s">
        <v>137</v>
      </c>
    </row>
    <row r="40" spans="1:9" ht="35.4" customHeight="1" x14ac:dyDescent="0.25">
      <c r="A40" s="3" t="s">
        <v>139</v>
      </c>
      <c r="B40" s="3" t="s">
        <v>143</v>
      </c>
      <c r="C40" s="3" t="s">
        <v>131</v>
      </c>
      <c r="D40" s="8">
        <v>2</v>
      </c>
      <c r="E40" s="21">
        <v>1</v>
      </c>
      <c r="F40" s="21">
        <v>3</v>
      </c>
      <c r="G40" s="15">
        <v>1440</v>
      </c>
      <c r="H40" s="15">
        <v>9085090</v>
      </c>
      <c r="I40" s="3"/>
    </row>
    <row r="41" spans="1:9" x14ac:dyDescent="0.25">
      <c r="A41" s="3" t="s">
        <v>139</v>
      </c>
      <c r="B41" s="3" t="s">
        <v>143</v>
      </c>
      <c r="C41" s="3" t="s">
        <v>132</v>
      </c>
      <c r="D41" s="8">
        <v>27</v>
      </c>
      <c r="E41" s="21">
        <v>24</v>
      </c>
      <c r="F41" s="21">
        <v>30</v>
      </c>
      <c r="G41" s="15">
        <v>1440</v>
      </c>
      <c r="H41" s="15">
        <v>9085090</v>
      </c>
      <c r="I41" s="3"/>
    </row>
    <row r="42" spans="1:9" x14ac:dyDescent="0.25">
      <c r="A42" s="3" t="s">
        <v>139</v>
      </c>
      <c r="B42" s="3" t="s">
        <v>143</v>
      </c>
      <c r="C42" s="3" t="s">
        <v>133</v>
      </c>
      <c r="D42" s="8">
        <v>37</v>
      </c>
      <c r="E42" s="21">
        <v>34</v>
      </c>
      <c r="F42" s="21">
        <v>41</v>
      </c>
      <c r="G42" s="15">
        <v>1440</v>
      </c>
      <c r="H42" s="15">
        <v>9085090</v>
      </c>
      <c r="I42" s="3"/>
    </row>
    <row r="43" spans="1:9" x14ac:dyDescent="0.25">
      <c r="A43" s="3" t="s">
        <v>139</v>
      </c>
      <c r="B43" s="3" t="s">
        <v>143</v>
      </c>
      <c r="C43" s="3" t="s">
        <v>134</v>
      </c>
      <c r="D43" s="8">
        <v>20</v>
      </c>
      <c r="E43" s="21">
        <v>17</v>
      </c>
      <c r="F43" s="21">
        <v>23</v>
      </c>
      <c r="G43" s="15">
        <v>1440</v>
      </c>
      <c r="H43" s="15">
        <v>9085090</v>
      </c>
      <c r="I43" s="3"/>
    </row>
    <row r="44" spans="1:9" x14ac:dyDescent="0.25">
      <c r="A44" s="3" t="s">
        <v>139</v>
      </c>
      <c r="B44" s="3" t="s">
        <v>143</v>
      </c>
      <c r="C44" s="3" t="s">
        <v>135</v>
      </c>
      <c r="D44" s="8">
        <v>13</v>
      </c>
      <c r="E44" s="21">
        <v>11</v>
      </c>
      <c r="F44" s="21">
        <v>16</v>
      </c>
      <c r="G44" s="15">
        <v>1440</v>
      </c>
      <c r="H44" s="15">
        <v>9085090</v>
      </c>
      <c r="I44" s="3"/>
    </row>
    <row r="45" spans="1:9" x14ac:dyDescent="0.25">
      <c r="A45" s="3" t="s">
        <v>139</v>
      </c>
      <c r="B45" s="3" t="s">
        <v>143</v>
      </c>
      <c r="C45" s="3" t="s">
        <v>136</v>
      </c>
      <c r="D45" s="8">
        <v>29</v>
      </c>
      <c r="E45" s="21">
        <v>26</v>
      </c>
      <c r="F45" s="21">
        <v>33</v>
      </c>
      <c r="G45" s="15">
        <v>1440</v>
      </c>
      <c r="H45" s="15">
        <v>9085090</v>
      </c>
      <c r="I45" s="3" t="s">
        <v>137</v>
      </c>
    </row>
    <row r="46" spans="1:9" x14ac:dyDescent="0.25">
      <c r="A46" s="3" t="s">
        <v>139</v>
      </c>
      <c r="B46" s="3" t="s">
        <v>143</v>
      </c>
      <c r="C46" s="3" t="s">
        <v>138</v>
      </c>
      <c r="D46" s="8">
        <v>33</v>
      </c>
      <c r="E46" s="21">
        <v>30</v>
      </c>
      <c r="F46" s="21">
        <v>37</v>
      </c>
      <c r="G46" s="15">
        <v>1440</v>
      </c>
      <c r="H46" s="15">
        <v>9085090</v>
      </c>
      <c r="I46" s="3" t="s">
        <v>137</v>
      </c>
    </row>
    <row r="47" spans="1:9" ht="35.4" customHeight="1" x14ac:dyDescent="0.25">
      <c r="A47" s="3" t="s">
        <v>144</v>
      </c>
      <c r="B47" s="3" t="s">
        <v>145</v>
      </c>
      <c r="C47" s="3" t="s">
        <v>131</v>
      </c>
      <c r="D47" s="8">
        <v>9</v>
      </c>
      <c r="E47" s="21">
        <v>7</v>
      </c>
      <c r="F47" s="21">
        <v>11</v>
      </c>
      <c r="G47" s="15">
        <v>1610</v>
      </c>
      <c r="H47" s="15">
        <v>26557200</v>
      </c>
      <c r="I47" s="3"/>
    </row>
    <row r="48" spans="1:9" x14ac:dyDescent="0.25">
      <c r="A48" s="3" t="s">
        <v>144</v>
      </c>
      <c r="B48" s="3" t="s">
        <v>145</v>
      </c>
      <c r="C48" s="3" t="s">
        <v>132</v>
      </c>
      <c r="D48" s="8">
        <v>34</v>
      </c>
      <c r="E48" s="21">
        <v>30</v>
      </c>
      <c r="F48" s="21">
        <v>37</v>
      </c>
      <c r="G48" s="15">
        <v>1610</v>
      </c>
      <c r="H48" s="15">
        <v>26557200</v>
      </c>
      <c r="I48" s="3"/>
    </row>
    <row r="49" spans="1:9" x14ac:dyDescent="0.25">
      <c r="A49" s="3" t="s">
        <v>144</v>
      </c>
      <c r="B49" s="3" t="s">
        <v>145</v>
      </c>
      <c r="C49" s="3" t="s">
        <v>133</v>
      </c>
      <c r="D49" s="8">
        <v>27</v>
      </c>
      <c r="E49" s="21">
        <v>23</v>
      </c>
      <c r="F49" s="21">
        <v>30</v>
      </c>
      <c r="G49" s="15">
        <v>1610</v>
      </c>
      <c r="H49" s="15">
        <v>26557200</v>
      </c>
      <c r="I49" s="3"/>
    </row>
    <row r="50" spans="1:9" x14ac:dyDescent="0.25">
      <c r="A50" s="3" t="s">
        <v>144</v>
      </c>
      <c r="B50" s="3" t="s">
        <v>145</v>
      </c>
      <c r="C50" s="3" t="s">
        <v>134</v>
      </c>
      <c r="D50" s="8">
        <v>16</v>
      </c>
      <c r="E50" s="21">
        <v>13</v>
      </c>
      <c r="F50" s="21">
        <v>19</v>
      </c>
      <c r="G50" s="15">
        <v>1610</v>
      </c>
      <c r="H50" s="15">
        <v>26557200</v>
      </c>
      <c r="I50" s="3"/>
    </row>
    <row r="51" spans="1:9" x14ac:dyDescent="0.25">
      <c r="A51" s="3" t="s">
        <v>144</v>
      </c>
      <c r="B51" s="3" t="s">
        <v>145</v>
      </c>
      <c r="C51" s="3" t="s">
        <v>135</v>
      </c>
      <c r="D51" s="8">
        <v>15</v>
      </c>
      <c r="E51" s="21">
        <v>12</v>
      </c>
      <c r="F51" s="21">
        <v>18</v>
      </c>
      <c r="G51" s="15">
        <v>1610</v>
      </c>
      <c r="H51" s="15">
        <v>26557200</v>
      </c>
      <c r="I51" s="3"/>
    </row>
    <row r="52" spans="1:9" x14ac:dyDescent="0.25">
      <c r="A52" s="3" t="s">
        <v>144</v>
      </c>
      <c r="B52" s="3" t="s">
        <v>145</v>
      </c>
      <c r="C52" s="3" t="s">
        <v>136</v>
      </c>
      <c r="D52" s="8">
        <v>43</v>
      </c>
      <c r="E52" s="21">
        <v>39</v>
      </c>
      <c r="F52" s="21">
        <v>46</v>
      </c>
      <c r="G52" s="15">
        <v>1610</v>
      </c>
      <c r="H52" s="15">
        <v>26557200</v>
      </c>
      <c r="I52" s="3" t="s">
        <v>137</v>
      </c>
    </row>
    <row r="53" spans="1:9" x14ac:dyDescent="0.25">
      <c r="A53" s="3" t="s">
        <v>144</v>
      </c>
      <c r="B53" s="3" t="s">
        <v>145</v>
      </c>
      <c r="C53" s="3" t="s">
        <v>138</v>
      </c>
      <c r="D53" s="8">
        <v>31</v>
      </c>
      <c r="E53" s="21">
        <v>27</v>
      </c>
      <c r="F53" s="21">
        <v>35</v>
      </c>
      <c r="G53" s="15">
        <v>1610</v>
      </c>
      <c r="H53" s="15">
        <v>26557200</v>
      </c>
      <c r="I53" s="3" t="s">
        <v>137</v>
      </c>
    </row>
    <row r="54" spans="1:9" ht="35.4" customHeight="1" x14ac:dyDescent="0.25">
      <c r="A54" s="3" t="s">
        <v>144</v>
      </c>
      <c r="B54" s="3" t="s">
        <v>146</v>
      </c>
      <c r="C54" s="3" t="s">
        <v>131</v>
      </c>
      <c r="D54" s="8">
        <v>4</v>
      </c>
      <c r="E54" s="21">
        <v>3</v>
      </c>
      <c r="F54" s="21">
        <v>6</v>
      </c>
      <c r="G54" s="15">
        <v>1670</v>
      </c>
      <c r="H54" s="15">
        <v>27873653</v>
      </c>
      <c r="I54" s="3"/>
    </row>
    <row r="55" spans="1:9" x14ac:dyDescent="0.25">
      <c r="A55" s="3" t="s">
        <v>144</v>
      </c>
      <c r="B55" s="3" t="s">
        <v>146</v>
      </c>
      <c r="C55" s="3" t="s">
        <v>132</v>
      </c>
      <c r="D55" s="8">
        <v>32</v>
      </c>
      <c r="E55" s="21">
        <v>29</v>
      </c>
      <c r="F55" s="21">
        <v>36</v>
      </c>
      <c r="G55" s="15">
        <v>1670</v>
      </c>
      <c r="H55" s="15">
        <v>27873653</v>
      </c>
      <c r="I55" s="3"/>
    </row>
    <row r="56" spans="1:9" x14ac:dyDescent="0.25">
      <c r="A56" s="3" t="s">
        <v>144</v>
      </c>
      <c r="B56" s="3" t="s">
        <v>146</v>
      </c>
      <c r="C56" s="3" t="s">
        <v>133</v>
      </c>
      <c r="D56" s="8">
        <v>33</v>
      </c>
      <c r="E56" s="21">
        <v>29</v>
      </c>
      <c r="F56" s="21">
        <v>36</v>
      </c>
      <c r="G56" s="15">
        <v>1670</v>
      </c>
      <c r="H56" s="15">
        <v>27873653</v>
      </c>
      <c r="I56" s="3"/>
    </row>
    <row r="57" spans="1:9" x14ac:dyDescent="0.25">
      <c r="A57" s="3" t="s">
        <v>144</v>
      </c>
      <c r="B57" s="3" t="s">
        <v>146</v>
      </c>
      <c r="C57" s="3" t="s">
        <v>134</v>
      </c>
      <c r="D57" s="8">
        <v>19</v>
      </c>
      <c r="E57" s="21">
        <v>16</v>
      </c>
      <c r="F57" s="21">
        <v>22</v>
      </c>
      <c r="G57" s="15">
        <v>1670</v>
      </c>
      <c r="H57" s="15">
        <v>27873653</v>
      </c>
      <c r="I57" s="3"/>
    </row>
    <row r="58" spans="1:9" x14ac:dyDescent="0.25">
      <c r="A58" s="3" t="s">
        <v>144</v>
      </c>
      <c r="B58" s="3" t="s">
        <v>146</v>
      </c>
      <c r="C58" s="3" t="s">
        <v>135</v>
      </c>
      <c r="D58" s="8">
        <v>12</v>
      </c>
      <c r="E58" s="21">
        <v>10</v>
      </c>
      <c r="F58" s="21">
        <v>14</v>
      </c>
      <c r="G58" s="15">
        <v>1670</v>
      </c>
      <c r="H58" s="15">
        <v>27873653</v>
      </c>
      <c r="I58" s="3"/>
    </row>
    <row r="59" spans="1:9" x14ac:dyDescent="0.25">
      <c r="A59" s="3" t="s">
        <v>144</v>
      </c>
      <c r="B59" s="3" t="s">
        <v>146</v>
      </c>
      <c r="C59" s="3" t="s">
        <v>136</v>
      </c>
      <c r="D59" s="8">
        <v>37</v>
      </c>
      <c r="E59" s="21">
        <v>33</v>
      </c>
      <c r="F59" s="21">
        <v>40</v>
      </c>
      <c r="G59" s="15">
        <v>1670</v>
      </c>
      <c r="H59" s="15">
        <v>27873653</v>
      </c>
      <c r="I59" s="3" t="s">
        <v>169</v>
      </c>
    </row>
    <row r="60" spans="1:9" x14ac:dyDescent="0.25">
      <c r="A60" s="3" t="s">
        <v>144</v>
      </c>
      <c r="B60" s="3" t="s">
        <v>146</v>
      </c>
      <c r="C60" s="3" t="s">
        <v>138</v>
      </c>
      <c r="D60" s="8">
        <v>31</v>
      </c>
      <c r="E60" s="21">
        <v>27</v>
      </c>
      <c r="F60" s="21">
        <v>34</v>
      </c>
      <c r="G60" s="15">
        <v>1670</v>
      </c>
      <c r="H60" s="15">
        <v>27873653</v>
      </c>
      <c r="I60" s="3" t="s">
        <v>169</v>
      </c>
    </row>
    <row r="61" spans="1:9" ht="35.4" customHeight="1" x14ac:dyDescent="0.25">
      <c r="A61" t="s">
        <v>149</v>
      </c>
      <c r="B61" s="3" t="s">
        <v>136</v>
      </c>
      <c r="C61" s="3" t="s">
        <v>131</v>
      </c>
      <c r="D61" s="8">
        <v>13</v>
      </c>
      <c r="E61" s="21">
        <v>10</v>
      </c>
      <c r="F61" s="21">
        <v>16</v>
      </c>
      <c r="G61" s="15">
        <v>1240</v>
      </c>
      <c r="H61" s="15">
        <v>22326221</v>
      </c>
      <c r="I61" s="3" t="s">
        <v>150</v>
      </c>
    </row>
    <row r="62" spans="1:9" x14ac:dyDescent="0.25">
      <c r="A62" t="s">
        <v>149</v>
      </c>
      <c r="B62" s="3" t="s">
        <v>136</v>
      </c>
      <c r="C62" s="3" t="s">
        <v>132</v>
      </c>
      <c r="D62" s="8">
        <v>54</v>
      </c>
      <c r="E62" s="21">
        <v>50</v>
      </c>
      <c r="F62" s="21">
        <v>58</v>
      </c>
      <c r="G62" s="15">
        <v>1240</v>
      </c>
      <c r="H62" s="15">
        <v>22326221</v>
      </c>
      <c r="I62" s="3" t="s">
        <v>150</v>
      </c>
    </row>
    <row r="63" spans="1:9" x14ac:dyDescent="0.25">
      <c r="A63" t="s">
        <v>149</v>
      </c>
      <c r="B63" s="3" t="s">
        <v>136</v>
      </c>
      <c r="C63" s="3" t="s">
        <v>133</v>
      </c>
      <c r="D63" s="8">
        <v>21</v>
      </c>
      <c r="E63" s="21">
        <v>17</v>
      </c>
      <c r="F63" s="21">
        <v>24</v>
      </c>
      <c r="G63" s="15">
        <v>1240</v>
      </c>
      <c r="H63" s="15">
        <v>22326221</v>
      </c>
      <c r="I63" s="3" t="s">
        <v>150</v>
      </c>
    </row>
    <row r="64" spans="1:9" x14ac:dyDescent="0.25">
      <c r="A64" t="s">
        <v>149</v>
      </c>
      <c r="B64" s="3" t="s">
        <v>136</v>
      </c>
      <c r="C64" s="3" t="s">
        <v>134</v>
      </c>
      <c r="D64" s="8">
        <v>10</v>
      </c>
      <c r="E64" s="21">
        <v>7</v>
      </c>
      <c r="F64" s="21">
        <v>12</v>
      </c>
      <c r="G64" s="15">
        <v>1240</v>
      </c>
      <c r="H64" s="15">
        <v>22326221</v>
      </c>
      <c r="I64" s="3" t="s">
        <v>150</v>
      </c>
    </row>
    <row r="65" spans="1:9" x14ac:dyDescent="0.25">
      <c r="A65" t="s">
        <v>149</v>
      </c>
      <c r="B65" s="3" t="s">
        <v>136</v>
      </c>
      <c r="C65" s="3" t="s">
        <v>135</v>
      </c>
      <c r="D65" s="8">
        <v>2</v>
      </c>
      <c r="E65" s="21">
        <v>1</v>
      </c>
      <c r="F65" s="21">
        <v>3</v>
      </c>
      <c r="G65" s="15">
        <v>1240</v>
      </c>
      <c r="H65" s="15">
        <v>22326221</v>
      </c>
      <c r="I65" s="3" t="s">
        <v>150</v>
      </c>
    </row>
    <row r="66" spans="1:9" x14ac:dyDescent="0.25">
      <c r="A66" t="s">
        <v>149</v>
      </c>
      <c r="B66" s="3" t="s">
        <v>136</v>
      </c>
      <c r="C66" s="3" t="s">
        <v>136</v>
      </c>
      <c r="D66" s="8">
        <v>67</v>
      </c>
      <c r="E66" s="21">
        <v>63</v>
      </c>
      <c r="F66" s="21">
        <v>71</v>
      </c>
      <c r="G66" s="15">
        <v>1240</v>
      </c>
      <c r="H66" s="15">
        <v>22326221</v>
      </c>
      <c r="I66" s="3" t="s">
        <v>151</v>
      </c>
    </row>
    <row r="67" spans="1:9" x14ac:dyDescent="0.25">
      <c r="A67" t="s">
        <v>149</v>
      </c>
      <c r="B67" s="3" t="s">
        <v>136</v>
      </c>
      <c r="C67" s="3" t="s">
        <v>138</v>
      </c>
      <c r="D67" s="8">
        <v>12</v>
      </c>
      <c r="E67" s="21">
        <v>9</v>
      </c>
      <c r="F67" s="21">
        <v>15</v>
      </c>
      <c r="G67" s="15">
        <v>1240</v>
      </c>
      <c r="H67" s="15">
        <v>22326221</v>
      </c>
      <c r="I67" s="3" t="s">
        <v>151</v>
      </c>
    </row>
    <row r="68" spans="1:9" ht="35.4" customHeight="1" x14ac:dyDescent="0.25">
      <c r="A68" t="s">
        <v>149</v>
      </c>
      <c r="B68" s="3" t="s">
        <v>133</v>
      </c>
      <c r="C68" s="3" t="s">
        <v>131</v>
      </c>
      <c r="D68" s="8">
        <v>2</v>
      </c>
      <c r="E68" s="21">
        <v>1</v>
      </c>
      <c r="F68" s="21">
        <v>4</v>
      </c>
      <c r="G68" s="15">
        <v>1420</v>
      </c>
      <c r="H68" s="15">
        <v>21356829</v>
      </c>
      <c r="I68" s="3" t="s">
        <v>150</v>
      </c>
    </row>
    <row r="69" spans="1:9" x14ac:dyDescent="0.25">
      <c r="A69" t="s">
        <v>149</v>
      </c>
      <c r="B69" s="3" t="s">
        <v>133</v>
      </c>
      <c r="C69" s="3" t="s">
        <v>132</v>
      </c>
      <c r="D69" s="8">
        <v>21</v>
      </c>
      <c r="E69" s="21">
        <v>17</v>
      </c>
      <c r="F69" s="21">
        <v>24</v>
      </c>
      <c r="G69" s="15">
        <v>1420</v>
      </c>
      <c r="H69" s="15">
        <v>21356829</v>
      </c>
      <c r="I69" s="3" t="s">
        <v>150</v>
      </c>
    </row>
    <row r="70" spans="1:9" x14ac:dyDescent="0.25">
      <c r="A70" t="s">
        <v>149</v>
      </c>
      <c r="B70" s="3" t="s">
        <v>133</v>
      </c>
      <c r="C70" s="3" t="s">
        <v>133</v>
      </c>
      <c r="D70" s="8">
        <v>46</v>
      </c>
      <c r="E70" s="21">
        <v>42</v>
      </c>
      <c r="F70" s="21">
        <v>50</v>
      </c>
      <c r="G70" s="15">
        <v>1420</v>
      </c>
      <c r="H70" s="15">
        <v>21356829</v>
      </c>
      <c r="I70" s="3" t="s">
        <v>150</v>
      </c>
    </row>
    <row r="71" spans="1:9" x14ac:dyDescent="0.25">
      <c r="A71" t="s">
        <v>149</v>
      </c>
      <c r="B71" s="3" t="s">
        <v>133</v>
      </c>
      <c r="C71" s="3" t="s">
        <v>134</v>
      </c>
      <c r="D71" s="8">
        <v>19</v>
      </c>
      <c r="E71" s="21">
        <v>16</v>
      </c>
      <c r="F71" s="21">
        <v>23</v>
      </c>
      <c r="G71" s="15">
        <v>1420</v>
      </c>
      <c r="H71" s="15">
        <v>21356829</v>
      </c>
      <c r="I71" s="3" t="s">
        <v>150</v>
      </c>
    </row>
    <row r="72" spans="1:9" x14ac:dyDescent="0.25">
      <c r="A72" t="s">
        <v>149</v>
      </c>
      <c r="B72" s="3" t="s">
        <v>133</v>
      </c>
      <c r="C72" s="3" t="s">
        <v>135</v>
      </c>
      <c r="D72" s="8">
        <v>12</v>
      </c>
      <c r="E72" s="21">
        <v>9</v>
      </c>
      <c r="F72" s="21">
        <v>14</v>
      </c>
      <c r="G72" s="15">
        <v>1420</v>
      </c>
      <c r="H72" s="15">
        <v>21356829</v>
      </c>
      <c r="I72" s="3" t="s">
        <v>150</v>
      </c>
    </row>
    <row r="73" spans="1:9" x14ac:dyDescent="0.25">
      <c r="A73" t="s">
        <v>149</v>
      </c>
      <c r="B73" s="3" t="s">
        <v>133</v>
      </c>
      <c r="C73" s="3" t="s">
        <v>136</v>
      </c>
      <c r="D73" s="8">
        <v>23</v>
      </c>
      <c r="E73" s="21">
        <v>20</v>
      </c>
      <c r="F73" s="21">
        <v>26</v>
      </c>
      <c r="G73" s="15">
        <v>1420</v>
      </c>
      <c r="H73" s="15">
        <v>21356829</v>
      </c>
      <c r="I73" s="3" t="s">
        <v>151</v>
      </c>
    </row>
    <row r="74" spans="1:9" x14ac:dyDescent="0.25">
      <c r="A74" t="s">
        <v>149</v>
      </c>
      <c r="B74" s="3" t="s">
        <v>133</v>
      </c>
      <c r="C74" s="3" t="s">
        <v>138</v>
      </c>
      <c r="D74" s="8">
        <v>31</v>
      </c>
      <c r="E74" s="21">
        <v>27</v>
      </c>
      <c r="F74" s="21">
        <v>35</v>
      </c>
      <c r="G74" s="15">
        <v>1420</v>
      </c>
      <c r="H74" s="15">
        <v>21356829</v>
      </c>
      <c r="I74" s="3" t="s">
        <v>151</v>
      </c>
    </row>
    <row r="75" spans="1:9" ht="35.4" customHeight="1" x14ac:dyDescent="0.25">
      <c r="A75" t="s">
        <v>149</v>
      </c>
      <c r="B75" s="3" t="s">
        <v>138</v>
      </c>
      <c r="C75" s="3" t="s">
        <v>131</v>
      </c>
      <c r="D75" s="8">
        <v>1</v>
      </c>
      <c r="E75" s="21">
        <v>0</v>
      </c>
      <c r="F75" s="21">
        <v>2</v>
      </c>
      <c r="G75" s="15">
        <v>610</v>
      </c>
      <c r="H75" s="15">
        <v>10726179</v>
      </c>
      <c r="I75" s="3" t="s">
        <v>150</v>
      </c>
    </row>
    <row r="76" spans="1:9" x14ac:dyDescent="0.25">
      <c r="A76" t="s">
        <v>149</v>
      </c>
      <c r="B76" s="3" t="s">
        <v>138</v>
      </c>
      <c r="C76" s="3" t="s">
        <v>132</v>
      </c>
      <c r="D76" s="8">
        <v>13</v>
      </c>
      <c r="E76" s="21">
        <v>9</v>
      </c>
      <c r="F76" s="21">
        <v>18</v>
      </c>
      <c r="G76" s="15">
        <v>610</v>
      </c>
      <c r="H76" s="15">
        <v>10726179</v>
      </c>
      <c r="I76" s="3" t="s">
        <v>150</v>
      </c>
    </row>
    <row r="77" spans="1:9" x14ac:dyDescent="0.25">
      <c r="A77" t="s">
        <v>149</v>
      </c>
      <c r="B77" s="3" t="s">
        <v>138</v>
      </c>
      <c r="C77" s="3" t="s">
        <v>133</v>
      </c>
      <c r="D77" s="8">
        <v>16</v>
      </c>
      <c r="E77" s="21">
        <v>11</v>
      </c>
      <c r="F77" s="21">
        <v>20</v>
      </c>
      <c r="G77" s="15">
        <v>610</v>
      </c>
      <c r="H77" s="15">
        <v>10726179</v>
      </c>
      <c r="I77" s="3" t="s">
        <v>150</v>
      </c>
    </row>
    <row r="78" spans="1:9" x14ac:dyDescent="0.25">
      <c r="A78" t="s">
        <v>149</v>
      </c>
      <c r="B78" s="3" t="s">
        <v>138</v>
      </c>
      <c r="C78" s="3" t="s">
        <v>134</v>
      </c>
      <c r="D78" s="8">
        <v>30</v>
      </c>
      <c r="E78" s="21">
        <v>24</v>
      </c>
      <c r="F78" s="21">
        <v>36</v>
      </c>
      <c r="G78" s="15">
        <v>610</v>
      </c>
      <c r="H78" s="15">
        <v>10726179</v>
      </c>
      <c r="I78" s="3" t="s">
        <v>150</v>
      </c>
    </row>
    <row r="79" spans="1:9" x14ac:dyDescent="0.25">
      <c r="A79" t="s">
        <v>149</v>
      </c>
      <c r="B79" s="3" t="s">
        <v>138</v>
      </c>
      <c r="C79" s="3" t="s">
        <v>135</v>
      </c>
      <c r="D79" s="8">
        <v>40</v>
      </c>
      <c r="E79" s="21">
        <v>34</v>
      </c>
      <c r="F79" s="21">
        <v>46</v>
      </c>
      <c r="G79" s="15">
        <v>610</v>
      </c>
      <c r="H79" s="15">
        <v>10726179</v>
      </c>
      <c r="I79" s="3" t="s">
        <v>150</v>
      </c>
    </row>
    <row r="80" spans="1:9" x14ac:dyDescent="0.25">
      <c r="A80" t="s">
        <v>149</v>
      </c>
      <c r="B80" s="3" t="s">
        <v>138</v>
      </c>
      <c r="C80" s="3" t="s">
        <v>136</v>
      </c>
      <c r="D80" s="8">
        <v>14</v>
      </c>
      <c r="E80" s="21">
        <v>10</v>
      </c>
      <c r="F80" s="21">
        <v>19</v>
      </c>
      <c r="G80" s="15">
        <v>610</v>
      </c>
      <c r="H80" s="15">
        <v>10726179</v>
      </c>
      <c r="I80" s="3" t="s">
        <v>151</v>
      </c>
    </row>
    <row r="81" spans="1:9" x14ac:dyDescent="0.25">
      <c r="A81" t="s">
        <v>149</v>
      </c>
      <c r="B81" s="3" t="s">
        <v>138</v>
      </c>
      <c r="C81" s="3" t="s">
        <v>138</v>
      </c>
      <c r="D81" s="8">
        <v>70</v>
      </c>
      <c r="E81" s="21">
        <v>64</v>
      </c>
      <c r="F81" s="21">
        <v>76</v>
      </c>
      <c r="G81" s="15">
        <v>610</v>
      </c>
      <c r="H81" s="15">
        <v>10726179</v>
      </c>
      <c r="I81" s="3" t="s">
        <v>151</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0"/>
  <sheetViews>
    <sheetView workbookViewId="0"/>
  </sheetViews>
  <sheetFormatPr defaultColWidth="11.54296875" defaultRowHeight="15" x14ac:dyDescent="0.25"/>
  <cols>
    <col min="1" max="1" width="16" customWidth="1"/>
    <col min="2" max="2" width="25.36328125" customWidth="1"/>
    <col min="3" max="3" width="54.1796875" customWidth="1"/>
    <col min="4" max="8" width="16.6328125" customWidth="1"/>
  </cols>
  <sheetData>
    <row r="1" spans="1:9" ht="21" x14ac:dyDescent="0.4">
      <c r="A1" s="5" t="s">
        <v>170</v>
      </c>
    </row>
    <row r="2" spans="1:9" ht="16.8" x14ac:dyDescent="0.3">
      <c r="A2" s="22" t="s">
        <v>118</v>
      </c>
    </row>
    <row r="3" spans="1:9" x14ac:dyDescent="0.25">
      <c r="A3" t="s">
        <v>38</v>
      </c>
    </row>
    <row r="4" spans="1:9" x14ac:dyDescent="0.25">
      <c r="A4" t="s">
        <v>119</v>
      </c>
    </row>
    <row r="5" spans="1:9" x14ac:dyDescent="0.25">
      <c r="A5" s="11" t="str">
        <f>HYPERLINK("#'Cover'!A1", "If shorthand is present please refer to the Suppression and shorthand section in the Cover_sheet tab")</f>
        <v>If shorthand is present please refer to the Suppression and shorthand section in the Cover_sheet tab</v>
      </c>
    </row>
    <row r="6" spans="1:9" x14ac:dyDescent="0.25">
      <c r="A6" s="11" t="str">
        <f>HYPERLINK("#'Contents'!A1", "Return to table of contents")</f>
        <v>Return to table of contents</v>
      </c>
    </row>
    <row r="7" spans="1:9" x14ac:dyDescent="0.25">
      <c r="A7" t="s">
        <v>121</v>
      </c>
    </row>
    <row r="8" spans="1:9" ht="15.6" x14ac:dyDescent="0.3">
      <c r="A8" s="12" t="s">
        <v>171</v>
      </c>
    </row>
    <row r="9" spans="1:9" ht="15.6" x14ac:dyDescent="0.3">
      <c r="A9" s="12" t="s">
        <v>1</v>
      </c>
    </row>
    <row r="10" spans="1:9" ht="31.2" x14ac:dyDescent="0.3">
      <c r="A10" s="9" t="s">
        <v>123</v>
      </c>
      <c r="B10" s="9" t="s">
        <v>124</v>
      </c>
      <c r="C10" s="9" t="s">
        <v>125</v>
      </c>
      <c r="D10" s="10" t="s">
        <v>126</v>
      </c>
      <c r="E10" s="10" t="s">
        <v>127</v>
      </c>
      <c r="F10" s="10" t="s">
        <v>128</v>
      </c>
      <c r="G10" s="10" t="s">
        <v>21</v>
      </c>
      <c r="H10" s="10" t="s">
        <v>18</v>
      </c>
      <c r="I10" s="9" t="s">
        <v>47</v>
      </c>
    </row>
    <row r="11" spans="1:9" x14ac:dyDescent="0.25">
      <c r="A11" s="3" t="s">
        <v>129</v>
      </c>
      <c r="B11" s="3" t="s">
        <v>130</v>
      </c>
      <c r="C11" s="3" t="s">
        <v>172</v>
      </c>
      <c r="D11" s="8">
        <v>22</v>
      </c>
      <c r="E11" s="21">
        <v>20</v>
      </c>
      <c r="F11" s="21">
        <v>25</v>
      </c>
      <c r="G11" s="15">
        <v>3280</v>
      </c>
      <c r="H11" s="15">
        <v>54289202</v>
      </c>
    </row>
    <row r="12" spans="1:9" x14ac:dyDescent="0.25">
      <c r="A12" s="3" t="s">
        <v>129</v>
      </c>
      <c r="B12" s="3" t="s">
        <v>130</v>
      </c>
      <c r="C12" s="3" t="s">
        <v>173</v>
      </c>
      <c r="D12" s="8">
        <v>15</v>
      </c>
      <c r="E12" s="21">
        <v>13</v>
      </c>
      <c r="F12" s="21">
        <v>17</v>
      </c>
      <c r="G12" s="15">
        <v>3280</v>
      </c>
      <c r="H12" s="15">
        <v>54289202</v>
      </c>
    </row>
    <row r="13" spans="1:9" x14ac:dyDescent="0.25">
      <c r="A13" s="3" t="s">
        <v>129</v>
      </c>
      <c r="B13" s="3" t="s">
        <v>130</v>
      </c>
      <c r="C13" s="3" t="s">
        <v>174</v>
      </c>
      <c r="D13" s="8">
        <v>40</v>
      </c>
      <c r="E13" s="21">
        <v>37</v>
      </c>
      <c r="F13" s="21">
        <v>43</v>
      </c>
      <c r="G13" s="15">
        <v>3280</v>
      </c>
      <c r="H13" s="15">
        <v>54289202</v>
      </c>
    </row>
    <row r="14" spans="1:9" x14ac:dyDescent="0.25">
      <c r="A14" s="3" t="s">
        <v>129</v>
      </c>
      <c r="B14" s="3" t="s">
        <v>130</v>
      </c>
      <c r="C14" s="3" t="s">
        <v>175</v>
      </c>
      <c r="D14" s="8">
        <v>51</v>
      </c>
      <c r="E14" s="21">
        <v>48</v>
      </c>
      <c r="F14" s="21">
        <v>53</v>
      </c>
      <c r="G14" s="15">
        <v>3280</v>
      </c>
      <c r="H14" s="15">
        <v>54289202</v>
      </c>
    </row>
    <row r="15" spans="1:9" x14ac:dyDescent="0.25">
      <c r="A15" s="3" t="s">
        <v>129</v>
      </c>
      <c r="B15" s="3" t="s">
        <v>130</v>
      </c>
      <c r="C15" s="3" t="s">
        <v>176</v>
      </c>
      <c r="D15" s="8">
        <v>33</v>
      </c>
      <c r="E15" s="21">
        <v>31</v>
      </c>
      <c r="F15" s="21">
        <v>36</v>
      </c>
      <c r="G15" s="15">
        <v>3280</v>
      </c>
      <c r="H15" s="15">
        <v>54289202</v>
      </c>
    </row>
    <row r="16" spans="1:9" x14ac:dyDescent="0.25">
      <c r="A16" s="3" t="s">
        <v>129</v>
      </c>
      <c r="B16" s="3" t="s">
        <v>130</v>
      </c>
      <c r="C16" s="3" t="s">
        <v>177</v>
      </c>
      <c r="D16" s="8">
        <v>51</v>
      </c>
      <c r="E16" s="21">
        <v>49</v>
      </c>
      <c r="F16" s="21">
        <v>54</v>
      </c>
      <c r="G16" s="15">
        <v>3280</v>
      </c>
      <c r="H16" s="15">
        <v>54289202</v>
      </c>
    </row>
    <row r="17" spans="1:8" x14ac:dyDescent="0.25">
      <c r="A17" s="3" t="s">
        <v>129</v>
      </c>
      <c r="B17" s="3" t="s">
        <v>130</v>
      </c>
      <c r="C17" s="3" t="s">
        <v>178</v>
      </c>
      <c r="D17" s="8">
        <v>25</v>
      </c>
      <c r="E17" s="21">
        <v>23</v>
      </c>
      <c r="F17" s="21">
        <v>28</v>
      </c>
      <c r="G17" s="15">
        <v>3280</v>
      </c>
      <c r="H17" s="15">
        <v>54289202</v>
      </c>
    </row>
    <row r="18" spans="1:8" x14ac:dyDescent="0.25">
      <c r="A18" s="3" t="s">
        <v>129</v>
      </c>
      <c r="B18" s="3" t="s">
        <v>130</v>
      </c>
      <c r="C18" s="3" t="s">
        <v>179</v>
      </c>
      <c r="D18" s="8">
        <v>42</v>
      </c>
      <c r="E18" s="21">
        <v>40</v>
      </c>
      <c r="F18" s="21">
        <v>45</v>
      </c>
      <c r="G18" s="15">
        <v>3280</v>
      </c>
      <c r="H18" s="15">
        <v>54289202</v>
      </c>
    </row>
    <row r="19" spans="1:8" x14ac:dyDescent="0.25">
      <c r="A19" s="3" t="s">
        <v>129</v>
      </c>
      <c r="B19" s="3" t="s">
        <v>130</v>
      </c>
      <c r="C19" s="3" t="s">
        <v>180</v>
      </c>
      <c r="D19" s="8">
        <v>15</v>
      </c>
      <c r="E19" s="21">
        <v>13</v>
      </c>
      <c r="F19" s="21">
        <v>17</v>
      </c>
      <c r="G19" s="15">
        <v>3280</v>
      </c>
      <c r="H19" s="15">
        <v>54289202</v>
      </c>
    </row>
    <row r="20" spans="1:8" x14ac:dyDescent="0.25">
      <c r="A20" s="3" t="s">
        <v>129</v>
      </c>
      <c r="B20" s="3" t="s">
        <v>130</v>
      </c>
      <c r="C20" s="3" t="s">
        <v>162</v>
      </c>
      <c r="D20" s="8">
        <v>1</v>
      </c>
      <c r="E20" s="21">
        <v>1</v>
      </c>
      <c r="F20" s="21">
        <v>2</v>
      </c>
      <c r="G20" s="15">
        <v>3280</v>
      </c>
      <c r="H20" s="15">
        <v>54289202</v>
      </c>
    </row>
    <row r="21" spans="1:8" x14ac:dyDescent="0.25">
      <c r="A21" s="3" t="s">
        <v>129</v>
      </c>
      <c r="B21" s="3" t="s">
        <v>130</v>
      </c>
      <c r="C21" s="3" t="s">
        <v>181</v>
      </c>
      <c r="D21" s="8">
        <v>23</v>
      </c>
      <c r="E21" s="21">
        <v>21</v>
      </c>
      <c r="F21" s="21">
        <v>25</v>
      </c>
      <c r="G21" s="15">
        <v>3280</v>
      </c>
      <c r="H21" s="15">
        <v>54289202</v>
      </c>
    </row>
    <row r="22" spans="1:8" ht="35.4" customHeight="1" x14ac:dyDescent="0.25">
      <c r="A22" s="3" t="s">
        <v>139</v>
      </c>
      <c r="B22" s="3" t="s">
        <v>140</v>
      </c>
      <c r="C22" s="3" t="s">
        <v>172</v>
      </c>
      <c r="D22" s="8">
        <v>21</v>
      </c>
      <c r="E22" s="21">
        <v>15</v>
      </c>
      <c r="F22" s="21">
        <v>28</v>
      </c>
      <c r="G22" s="15">
        <v>230</v>
      </c>
      <c r="H22" s="15">
        <v>11309819</v>
      </c>
    </row>
    <row r="23" spans="1:8" x14ac:dyDescent="0.25">
      <c r="A23" s="3" t="s">
        <v>139</v>
      </c>
      <c r="B23" s="3" t="s">
        <v>140</v>
      </c>
      <c r="C23" s="3" t="s">
        <v>173</v>
      </c>
      <c r="D23" s="8">
        <v>16</v>
      </c>
      <c r="E23" s="21">
        <v>10</v>
      </c>
      <c r="F23" s="21">
        <v>21</v>
      </c>
      <c r="G23" s="15">
        <v>230</v>
      </c>
      <c r="H23" s="15">
        <v>11309819</v>
      </c>
    </row>
    <row r="24" spans="1:8" x14ac:dyDescent="0.25">
      <c r="A24" s="3" t="s">
        <v>139</v>
      </c>
      <c r="B24" s="3" t="s">
        <v>140</v>
      </c>
      <c r="C24" s="3" t="s">
        <v>174</v>
      </c>
      <c r="D24" s="8">
        <v>40</v>
      </c>
      <c r="E24" s="21">
        <v>33</v>
      </c>
      <c r="F24" s="21">
        <v>48</v>
      </c>
      <c r="G24" s="15">
        <v>230</v>
      </c>
      <c r="H24" s="15">
        <v>11309819</v>
      </c>
    </row>
    <row r="25" spans="1:8" x14ac:dyDescent="0.25">
      <c r="A25" s="3" t="s">
        <v>139</v>
      </c>
      <c r="B25" s="3" t="s">
        <v>140</v>
      </c>
      <c r="C25" s="3" t="s">
        <v>175</v>
      </c>
      <c r="D25" s="8">
        <v>45</v>
      </c>
      <c r="E25" s="21">
        <v>38</v>
      </c>
      <c r="F25" s="21">
        <v>52</v>
      </c>
      <c r="G25" s="15">
        <v>230</v>
      </c>
      <c r="H25" s="15">
        <v>11309819</v>
      </c>
    </row>
    <row r="26" spans="1:8" x14ac:dyDescent="0.25">
      <c r="A26" s="3" t="s">
        <v>139</v>
      </c>
      <c r="B26" s="3" t="s">
        <v>140</v>
      </c>
      <c r="C26" s="3" t="s">
        <v>176</v>
      </c>
      <c r="D26" s="8">
        <v>39</v>
      </c>
      <c r="E26" s="21">
        <v>32</v>
      </c>
      <c r="F26" s="21">
        <v>46</v>
      </c>
      <c r="G26" s="15">
        <v>230</v>
      </c>
      <c r="H26" s="15">
        <v>11309819</v>
      </c>
    </row>
    <row r="27" spans="1:8" x14ac:dyDescent="0.25">
      <c r="A27" s="3" t="s">
        <v>139</v>
      </c>
      <c r="B27" s="3" t="s">
        <v>140</v>
      </c>
      <c r="C27" s="3" t="s">
        <v>177</v>
      </c>
      <c r="D27" s="8">
        <v>52</v>
      </c>
      <c r="E27" s="21">
        <v>44</v>
      </c>
      <c r="F27" s="21">
        <v>59</v>
      </c>
      <c r="G27" s="15">
        <v>230</v>
      </c>
      <c r="H27" s="15">
        <v>11309819</v>
      </c>
    </row>
    <row r="28" spans="1:8" x14ac:dyDescent="0.25">
      <c r="A28" s="3" t="s">
        <v>139</v>
      </c>
      <c r="B28" s="3" t="s">
        <v>140</v>
      </c>
      <c r="C28" s="3" t="s">
        <v>178</v>
      </c>
      <c r="D28" s="8">
        <v>30</v>
      </c>
      <c r="E28" s="21">
        <v>23</v>
      </c>
      <c r="F28" s="21">
        <v>37</v>
      </c>
      <c r="G28" s="15">
        <v>230</v>
      </c>
      <c r="H28" s="15">
        <v>11309819</v>
      </c>
    </row>
    <row r="29" spans="1:8" x14ac:dyDescent="0.25">
      <c r="A29" s="3" t="s">
        <v>139</v>
      </c>
      <c r="B29" s="3" t="s">
        <v>140</v>
      </c>
      <c r="C29" s="3" t="s">
        <v>179</v>
      </c>
      <c r="D29" s="8">
        <v>47</v>
      </c>
      <c r="E29" s="21">
        <v>39</v>
      </c>
      <c r="F29" s="21">
        <v>54</v>
      </c>
      <c r="G29" s="15">
        <v>230</v>
      </c>
      <c r="H29" s="15">
        <v>11309819</v>
      </c>
    </row>
    <row r="30" spans="1:8" x14ac:dyDescent="0.25">
      <c r="A30" s="3" t="s">
        <v>139</v>
      </c>
      <c r="B30" s="3" t="s">
        <v>140</v>
      </c>
      <c r="C30" s="3" t="s">
        <v>180</v>
      </c>
      <c r="D30" s="8">
        <v>14</v>
      </c>
      <c r="E30" s="21">
        <v>9</v>
      </c>
      <c r="F30" s="21">
        <v>20</v>
      </c>
      <c r="G30" s="15">
        <v>230</v>
      </c>
      <c r="H30" s="15">
        <v>11309819</v>
      </c>
    </row>
    <row r="31" spans="1:8" x14ac:dyDescent="0.25">
      <c r="A31" s="3" t="s">
        <v>139</v>
      </c>
      <c r="B31" s="3" t="s">
        <v>140</v>
      </c>
      <c r="C31" s="3" t="s">
        <v>162</v>
      </c>
      <c r="D31" s="17" t="s">
        <v>152</v>
      </c>
      <c r="E31" s="21" t="s">
        <v>152</v>
      </c>
      <c r="F31" s="21" t="s">
        <v>152</v>
      </c>
      <c r="G31" s="15">
        <v>230</v>
      </c>
      <c r="H31" s="15">
        <v>11309819</v>
      </c>
    </row>
    <row r="32" spans="1:8" x14ac:dyDescent="0.25">
      <c r="A32" s="3" t="s">
        <v>139</v>
      </c>
      <c r="B32" s="3" t="s">
        <v>140</v>
      </c>
      <c r="C32" s="3" t="s">
        <v>181</v>
      </c>
      <c r="D32" s="8">
        <v>18</v>
      </c>
      <c r="E32" s="21">
        <v>13</v>
      </c>
      <c r="F32" s="21">
        <v>24</v>
      </c>
      <c r="G32" s="15">
        <v>230</v>
      </c>
      <c r="H32" s="15">
        <v>11309819</v>
      </c>
    </row>
    <row r="33" spans="1:8" ht="35.4" customHeight="1" x14ac:dyDescent="0.25">
      <c r="A33" s="3" t="s">
        <v>139</v>
      </c>
      <c r="B33" s="3" t="s">
        <v>141</v>
      </c>
      <c r="C33" s="3" t="s">
        <v>172</v>
      </c>
      <c r="D33" s="8">
        <v>28</v>
      </c>
      <c r="E33" s="21">
        <v>23</v>
      </c>
      <c r="F33" s="21">
        <v>32</v>
      </c>
      <c r="G33" s="15">
        <v>450</v>
      </c>
      <c r="H33" s="15">
        <v>17157830</v>
      </c>
    </row>
    <row r="34" spans="1:8" x14ac:dyDescent="0.25">
      <c r="A34" s="3" t="s">
        <v>139</v>
      </c>
      <c r="B34" s="3" t="s">
        <v>141</v>
      </c>
      <c r="C34" s="3" t="s">
        <v>173</v>
      </c>
      <c r="D34" s="8">
        <v>19</v>
      </c>
      <c r="E34" s="21">
        <v>15</v>
      </c>
      <c r="F34" s="21">
        <v>23</v>
      </c>
      <c r="G34" s="15">
        <v>450</v>
      </c>
      <c r="H34" s="15">
        <v>17157830</v>
      </c>
    </row>
    <row r="35" spans="1:8" x14ac:dyDescent="0.25">
      <c r="A35" s="3" t="s">
        <v>139</v>
      </c>
      <c r="B35" s="3" t="s">
        <v>141</v>
      </c>
      <c r="C35" s="3" t="s">
        <v>174</v>
      </c>
      <c r="D35" s="8">
        <v>46</v>
      </c>
      <c r="E35" s="21">
        <v>40</v>
      </c>
      <c r="F35" s="21">
        <v>51</v>
      </c>
      <c r="G35" s="15">
        <v>450</v>
      </c>
      <c r="H35" s="15">
        <v>17157830</v>
      </c>
    </row>
    <row r="36" spans="1:8" x14ac:dyDescent="0.25">
      <c r="A36" s="3" t="s">
        <v>139</v>
      </c>
      <c r="B36" s="3" t="s">
        <v>141</v>
      </c>
      <c r="C36" s="3" t="s">
        <v>175</v>
      </c>
      <c r="D36" s="8">
        <v>55</v>
      </c>
      <c r="E36" s="21">
        <v>49</v>
      </c>
      <c r="F36" s="21">
        <v>60</v>
      </c>
      <c r="G36" s="15">
        <v>450</v>
      </c>
      <c r="H36" s="15">
        <v>17157830</v>
      </c>
    </row>
    <row r="37" spans="1:8" x14ac:dyDescent="0.25">
      <c r="A37" s="3" t="s">
        <v>139</v>
      </c>
      <c r="B37" s="3" t="s">
        <v>141</v>
      </c>
      <c r="C37" s="3" t="s">
        <v>176</v>
      </c>
      <c r="D37" s="8">
        <v>36</v>
      </c>
      <c r="E37" s="21">
        <v>31</v>
      </c>
      <c r="F37" s="21">
        <v>41</v>
      </c>
      <c r="G37" s="15">
        <v>450</v>
      </c>
      <c r="H37" s="15">
        <v>17157830</v>
      </c>
    </row>
    <row r="38" spans="1:8" x14ac:dyDescent="0.25">
      <c r="A38" s="3" t="s">
        <v>139</v>
      </c>
      <c r="B38" s="3" t="s">
        <v>141</v>
      </c>
      <c r="C38" s="3" t="s">
        <v>177</v>
      </c>
      <c r="D38" s="8">
        <v>62</v>
      </c>
      <c r="E38" s="21">
        <v>57</v>
      </c>
      <c r="F38" s="21">
        <v>67</v>
      </c>
      <c r="G38" s="15">
        <v>450</v>
      </c>
      <c r="H38" s="15">
        <v>17157830</v>
      </c>
    </row>
    <row r="39" spans="1:8" x14ac:dyDescent="0.25">
      <c r="A39" s="3" t="s">
        <v>139</v>
      </c>
      <c r="B39" s="3" t="s">
        <v>141</v>
      </c>
      <c r="C39" s="3" t="s">
        <v>178</v>
      </c>
      <c r="D39" s="8">
        <v>30</v>
      </c>
      <c r="E39" s="21">
        <v>25</v>
      </c>
      <c r="F39" s="21">
        <v>35</v>
      </c>
      <c r="G39" s="15">
        <v>450</v>
      </c>
      <c r="H39" s="15">
        <v>17157830</v>
      </c>
    </row>
    <row r="40" spans="1:8" x14ac:dyDescent="0.25">
      <c r="A40" s="3" t="s">
        <v>139</v>
      </c>
      <c r="B40" s="3" t="s">
        <v>141</v>
      </c>
      <c r="C40" s="3" t="s">
        <v>179</v>
      </c>
      <c r="D40" s="8">
        <v>52</v>
      </c>
      <c r="E40" s="21">
        <v>46</v>
      </c>
      <c r="F40" s="21">
        <v>57</v>
      </c>
      <c r="G40" s="15">
        <v>450</v>
      </c>
      <c r="H40" s="15">
        <v>17157830</v>
      </c>
    </row>
    <row r="41" spans="1:8" x14ac:dyDescent="0.25">
      <c r="A41" s="3" t="s">
        <v>139</v>
      </c>
      <c r="B41" s="3" t="s">
        <v>141</v>
      </c>
      <c r="C41" s="3" t="s">
        <v>180</v>
      </c>
      <c r="D41" s="8">
        <v>24</v>
      </c>
      <c r="E41" s="21">
        <v>19</v>
      </c>
      <c r="F41" s="21">
        <v>29</v>
      </c>
      <c r="G41" s="15">
        <v>450</v>
      </c>
      <c r="H41" s="15">
        <v>17157830</v>
      </c>
    </row>
    <row r="42" spans="1:8" x14ac:dyDescent="0.25">
      <c r="A42" s="3" t="s">
        <v>139</v>
      </c>
      <c r="B42" s="3" t="s">
        <v>141</v>
      </c>
      <c r="C42" s="3" t="s">
        <v>162</v>
      </c>
      <c r="D42" s="8">
        <v>2</v>
      </c>
      <c r="E42" s="21">
        <v>0</v>
      </c>
      <c r="F42" s="21">
        <v>3</v>
      </c>
      <c r="G42" s="15">
        <v>450</v>
      </c>
      <c r="H42" s="15">
        <v>17157830</v>
      </c>
    </row>
    <row r="43" spans="1:8" x14ac:dyDescent="0.25">
      <c r="A43" s="3" t="s">
        <v>139</v>
      </c>
      <c r="B43" s="3" t="s">
        <v>141</v>
      </c>
      <c r="C43" s="3" t="s">
        <v>181</v>
      </c>
      <c r="D43" s="8">
        <v>18</v>
      </c>
      <c r="E43" s="21">
        <v>14</v>
      </c>
      <c r="F43" s="21">
        <v>22</v>
      </c>
      <c r="G43" s="15">
        <v>450</v>
      </c>
      <c r="H43" s="15">
        <v>17157830</v>
      </c>
    </row>
    <row r="44" spans="1:8" ht="35.4" customHeight="1" x14ac:dyDescent="0.25">
      <c r="A44" s="3" t="s">
        <v>139</v>
      </c>
      <c r="B44" s="3" t="s">
        <v>142</v>
      </c>
      <c r="C44" s="3" t="s">
        <v>172</v>
      </c>
      <c r="D44" s="8">
        <v>18</v>
      </c>
      <c r="E44" s="21">
        <v>15</v>
      </c>
      <c r="F44" s="21">
        <v>21</v>
      </c>
      <c r="G44" s="15">
        <v>1160</v>
      </c>
      <c r="H44" s="15">
        <v>16769066</v>
      </c>
    </row>
    <row r="45" spans="1:8" x14ac:dyDescent="0.25">
      <c r="A45" s="3" t="s">
        <v>139</v>
      </c>
      <c r="B45" s="3" t="s">
        <v>142</v>
      </c>
      <c r="C45" s="3" t="s">
        <v>173</v>
      </c>
      <c r="D45" s="8">
        <v>10</v>
      </c>
      <c r="E45" s="21">
        <v>8</v>
      </c>
      <c r="F45" s="21">
        <v>12</v>
      </c>
      <c r="G45" s="15">
        <v>1160</v>
      </c>
      <c r="H45" s="15">
        <v>16769066</v>
      </c>
    </row>
    <row r="46" spans="1:8" x14ac:dyDescent="0.25">
      <c r="A46" s="3" t="s">
        <v>139</v>
      </c>
      <c r="B46" s="3" t="s">
        <v>142</v>
      </c>
      <c r="C46" s="3" t="s">
        <v>174</v>
      </c>
      <c r="D46" s="8">
        <v>35</v>
      </c>
      <c r="E46" s="21">
        <v>31</v>
      </c>
      <c r="F46" s="21">
        <v>39</v>
      </c>
      <c r="G46" s="15">
        <v>1160</v>
      </c>
      <c r="H46" s="15">
        <v>16769066</v>
      </c>
    </row>
    <row r="47" spans="1:8" x14ac:dyDescent="0.25">
      <c r="A47" s="3" t="s">
        <v>139</v>
      </c>
      <c r="B47" s="3" t="s">
        <v>142</v>
      </c>
      <c r="C47" s="3" t="s">
        <v>175</v>
      </c>
      <c r="D47" s="8">
        <v>50</v>
      </c>
      <c r="E47" s="21">
        <v>46</v>
      </c>
      <c r="F47" s="21">
        <v>54</v>
      </c>
      <c r="G47" s="15">
        <v>1160</v>
      </c>
      <c r="H47" s="15">
        <v>16769066</v>
      </c>
    </row>
    <row r="48" spans="1:8" x14ac:dyDescent="0.25">
      <c r="A48" s="3" t="s">
        <v>139</v>
      </c>
      <c r="B48" s="3" t="s">
        <v>142</v>
      </c>
      <c r="C48" s="3" t="s">
        <v>176</v>
      </c>
      <c r="D48" s="8">
        <v>30</v>
      </c>
      <c r="E48" s="21">
        <v>26</v>
      </c>
      <c r="F48" s="21">
        <v>34</v>
      </c>
      <c r="G48" s="15">
        <v>1160</v>
      </c>
      <c r="H48" s="15">
        <v>16769066</v>
      </c>
    </row>
    <row r="49" spans="1:8" x14ac:dyDescent="0.25">
      <c r="A49" s="3" t="s">
        <v>139</v>
      </c>
      <c r="B49" s="3" t="s">
        <v>142</v>
      </c>
      <c r="C49" s="3" t="s">
        <v>177</v>
      </c>
      <c r="D49" s="8">
        <v>49</v>
      </c>
      <c r="E49" s="21">
        <v>45</v>
      </c>
      <c r="F49" s="21">
        <v>53</v>
      </c>
      <c r="G49" s="15">
        <v>1160</v>
      </c>
      <c r="H49" s="15">
        <v>16769066</v>
      </c>
    </row>
    <row r="50" spans="1:8" x14ac:dyDescent="0.25">
      <c r="A50" s="3" t="s">
        <v>139</v>
      </c>
      <c r="B50" s="3" t="s">
        <v>142</v>
      </c>
      <c r="C50" s="3" t="s">
        <v>178</v>
      </c>
      <c r="D50" s="8">
        <v>22</v>
      </c>
      <c r="E50" s="21">
        <v>19</v>
      </c>
      <c r="F50" s="21">
        <v>26</v>
      </c>
      <c r="G50" s="15">
        <v>1160</v>
      </c>
      <c r="H50" s="15">
        <v>16769066</v>
      </c>
    </row>
    <row r="51" spans="1:8" x14ac:dyDescent="0.25">
      <c r="A51" s="3" t="s">
        <v>139</v>
      </c>
      <c r="B51" s="3" t="s">
        <v>142</v>
      </c>
      <c r="C51" s="3" t="s">
        <v>179</v>
      </c>
      <c r="D51" s="8">
        <v>37</v>
      </c>
      <c r="E51" s="21">
        <v>33</v>
      </c>
      <c r="F51" s="21">
        <v>41</v>
      </c>
      <c r="G51" s="15">
        <v>1160</v>
      </c>
      <c r="H51" s="15">
        <v>16769066</v>
      </c>
    </row>
    <row r="52" spans="1:8" x14ac:dyDescent="0.25">
      <c r="A52" s="3" t="s">
        <v>139</v>
      </c>
      <c r="B52" s="3" t="s">
        <v>142</v>
      </c>
      <c r="C52" s="3" t="s">
        <v>180</v>
      </c>
      <c r="D52" s="8">
        <v>10</v>
      </c>
      <c r="E52" s="21">
        <v>7</v>
      </c>
      <c r="F52" s="21">
        <v>12</v>
      </c>
      <c r="G52" s="15">
        <v>1160</v>
      </c>
      <c r="H52" s="15">
        <v>16769066</v>
      </c>
    </row>
    <row r="53" spans="1:8" x14ac:dyDescent="0.25">
      <c r="A53" s="3" t="s">
        <v>139</v>
      </c>
      <c r="B53" s="3" t="s">
        <v>142</v>
      </c>
      <c r="C53" s="3" t="s">
        <v>162</v>
      </c>
      <c r="D53" s="8">
        <v>1</v>
      </c>
      <c r="E53" s="21">
        <v>0</v>
      </c>
      <c r="F53" s="21">
        <v>2</v>
      </c>
      <c r="G53" s="15">
        <v>1160</v>
      </c>
      <c r="H53" s="15">
        <v>16769066</v>
      </c>
    </row>
    <row r="54" spans="1:8" x14ac:dyDescent="0.25">
      <c r="A54" s="3" t="s">
        <v>139</v>
      </c>
      <c r="B54" s="3" t="s">
        <v>142</v>
      </c>
      <c r="C54" s="3" t="s">
        <v>181</v>
      </c>
      <c r="D54" s="8">
        <v>28</v>
      </c>
      <c r="E54" s="21">
        <v>24</v>
      </c>
      <c r="F54" s="21">
        <v>31</v>
      </c>
      <c r="G54" s="15">
        <v>1160</v>
      </c>
      <c r="H54" s="15">
        <v>16769066</v>
      </c>
    </row>
    <row r="55" spans="1:8" ht="35.4" customHeight="1" x14ac:dyDescent="0.25">
      <c r="A55" s="3" t="s">
        <v>139</v>
      </c>
      <c r="B55" s="3" t="s">
        <v>143</v>
      </c>
      <c r="C55" s="3" t="s">
        <v>172</v>
      </c>
      <c r="D55" s="8">
        <v>22</v>
      </c>
      <c r="E55" s="21">
        <v>19</v>
      </c>
      <c r="F55" s="21">
        <v>25</v>
      </c>
      <c r="G55" s="15">
        <v>1430</v>
      </c>
      <c r="H55" s="15">
        <v>9052487</v>
      </c>
    </row>
    <row r="56" spans="1:8" x14ac:dyDescent="0.25">
      <c r="A56" s="3" t="s">
        <v>139</v>
      </c>
      <c r="B56" s="3" t="s">
        <v>143</v>
      </c>
      <c r="C56" s="3" t="s">
        <v>173</v>
      </c>
      <c r="D56" s="8">
        <v>14</v>
      </c>
      <c r="E56" s="21">
        <v>12</v>
      </c>
      <c r="F56" s="21">
        <v>17</v>
      </c>
      <c r="G56" s="15">
        <v>1430</v>
      </c>
      <c r="H56" s="15">
        <v>9052487</v>
      </c>
    </row>
    <row r="57" spans="1:8" x14ac:dyDescent="0.25">
      <c r="A57" s="3" t="s">
        <v>139</v>
      </c>
      <c r="B57" s="3" t="s">
        <v>143</v>
      </c>
      <c r="C57" s="3" t="s">
        <v>174</v>
      </c>
      <c r="D57" s="8">
        <v>38</v>
      </c>
      <c r="E57" s="21">
        <v>35</v>
      </c>
      <c r="F57" s="21">
        <v>42</v>
      </c>
      <c r="G57" s="15">
        <v>1430</v>
      </c>
      <c r="H57" s="15">
        <v>9052487</v>
      </c>
    </row>
    <row r="58" spans="1:8" x14ac:dyDescent="0.25">
      <c r="A58" s="3" t="s">
        <v>139</v>
      </c>
      <c r="B58" s="3" t="s">
        <v>143</v>
      </c>
      <c r="C58" s="3" t="s">
        <v>175</v>
      </c>
      <c r="D58" s="8">
        <v>50</v>
      </c>
      <c r="E58" s="21">
        <v>46</v>
      </c>
      <c r="F58" s="21">
        <v>53</v>
      </c>
      <c r="G58" s="15">
        <v>1430</v>
      </c>
      <c r="H58" s="15">
        <v>9052487</v>
      </c>
    </row>
    <row r="59" spans="1:8" x14ac:dyDescent="0.25">
      <c r="A59" s="3" t="s">
        <v>139</v>
      </c>
      <c r="B59" s="3" t="s">
        <v>143</v>
      </c>
      <c r="C59" s="3" t="s">
        <v>176</v>
      </c>
      <c r="D59" s="8">
        <v>27</v>
      </c>
      <c r="E59" s="21">
        <v>23</v>
      </c>
      <c r="F59" s="21">
        <v>30</v>
      </c>
      <c r="G59" s="15">
        <v>1430</v>
      </c>
      <c r="H59" s="15">
        <v>9052487</v>
      </c>
    </row>
    <row r="60" spans="1:8" x14ac:dyDescent="0.25">
      <c r="A60" s="3" t="s">
        <v>139</v>
      </c>
      <c r="B60" s="3" t="s">
        <v>143</v>
      </c>
      <c r="C60" s="3" t="s">
        <v>177</v>
      </c>
      <c r="D60" s="8">
        <v>35</v>
      </c>
      <c r="E60" s="21">
        <v>31</v>
      </c>
      <c r="F60" s="21">
        <v>38</v>
      </c>
      <c r="G60" s="15">
        <v>1430</v>
      </c>
      <c r="H60" s="15">
        <v>9052487</v>
      </c>
    </row>
    <row r="61" spans="1:8" x14ac:dyDescent="0.25">
      <c r="A61" s="3" t="s">
        <v>139</v>
      </c>
      <c r="B61" s="3" t="s">
        <v>143</v>
      </c>
      <c r="C61" s="3" t="s">
        <v>178</v>
      </c>
      <c r="D61" s="8">
        <v>16</v>
      </c>
      <c r="E61" s="21">
        <v>13</v>
      </c>
      <c r="F61" s="21">
        <v>18</v>
      </c>
      <c r="G61" s="15">
        <v>1430</v>
      </c>
      <c r="H61" s="15">
        <v>9052487</v>
      </c>
    </row>
    <row r="62" spans="1:8" x14ac:dyDescent="0.25">
      <c r="A62" s="3" t="s">
        <v>139</v>
      </c>
      <c r="B62" s="3" t="s">
        <v>143</v>
      </c>
      <c r="C62" s="3" t="s">
        <v>179</v>
      </c>
      <c r="D62" s="8">
        <v>28</v>
      </c>
      <c r="E62" s="21">
        <v>25</v>
      </c>
      <c r="F62" s="21">
        <v>31</v>
      </c>
      <c r="G62" s="15">
        <v>1430</v>
      </c>
      <c r="H62" s="15">
        <v>9052487</v>
      </c>
    </row>
    <row r="63" spans="1:8" x14ac:dyDescent="0.25">
      <c r="A63" s="3" t="s">
        <v>139</v>
      </c>
      <c r="B63" s="3" t="s">
        <v>143</v>
      </c>
      <c r="C63" s="3" t="s">
        <v>180</v>
      </c>
      <c r="D63" s="8">
        <v>6</v>
      </c>
      <c r="E63" s="21">
        <v>4</v>
      </c>
      <c r="F63" s="21">
        <v>8</v>
      </c>
      <c r="G63" s="15">
        <v>1430</v>
      </c>
      <c r="H63" s="15">
        <v>9052487</v>
      </c>
    </row>
    <row r="64" spans="1:8" x14ac:dyDescent="0.25">
      <c r="A64" s="3" t="s">
        <v>139</v>
      </c>
      <c r="B64" s="3" t="s">
        <v>143</v>
      </c>
      <c r="C64" s="3" t="s">
        <v>162</v>
      </c>
      <c r="D64" s="8">
        <v>1</v>
      </c>
      <c r="E64" s="21">
        <v>0</v>
      </c>
      <c r="F64" s="21">
        <v>1</v>
      </c>
      <c r="G64" s="15">
        <v>1430</v>
      </c>
      <c r="H64" s="15">
        <v>9052487</v>
      </c>
    </row>
    <row r="65" spans="1:8" x14ac:dyDescent="0.25">
      <c r="A65" s="3" t="s">
        <v>139</v>
      </c>
      <c r="B65" s="3" t="s">
        <v>143</v>
      </c>
      <c r="C65" s="3" t="s">
        <v>181</v>
      </c>
      <c r="D65" s="8">
        <v>30</v>
      </c>
      <c r="E65" s="21">
        <v>26</v>
      </c>
      <c r="F65" s="21">
        <v>33</v>
      </c>
      <c r="G65" s="15">
        <v>1430</v>
      </c>
      <c r="H65" s="15">
        <v>9052487</v>
      </c>
    </row>
    <row r="66" spans="1:8" ht="35.4" customHeight="1" x14ac:dyDescent="0.25">
      <c r="A66" s="3" t="s">
        <v>144</v>
      </c>
      <c r="B66" s="3" t="s">
        <v>145</v>
      </c>
      <c r="C66" s="3" t="s">
        <v>172</v>
      </c>
      <c r="D66" s="8">
        <v>28</v>
      </c>
      <c r="E66" s="21">
        <v>25</v>
      </c>
      <c r="F66" s="21">
        <v>32</v>
      </c>
      <c r="G66" s="15">
        <v>1610</v>
      </c>
      <c r="H66" s="15">
        <v>26451560</v>
      </c>
    </row>
    <row r="67" spans="1:8" x14ac:dyDescent="0.25">
      <c r="A67" s="3" t="s">
        <v>144</v>
      </c>
      <c r="B67" s="3" t="s">
        <v>145</v>
      </c>
      <c r="C67" s="3" t="s">
        <v>173</v>
      </c>
      <c r="D67" s="8">
        <v>19</v>
      </c>
      <c r="E67" s="21">
        <v>16</v>
      </c>
      <c r="F67" s="21">
        <v>23</v>
      </c>
      <c r="G67" s="15">
        <v>1610</v>
      </c>
      <c r="H67" s="15">
        <v>26451560</v>
      </c>
    </row>
    <row r="68" spans="1:8" x14ac:dyDescent="0.25">
      <c r="A68" s="3" t="s">
        <v>144</v>
      </c>
      <c r="B68" s="3" t="s">
        <v>145</v>
      </c>
      <c r="C68" s="3" t="s">
        <v>174</v>
      </c>
      <c r="D68" s="8">
        <v>47</v>
      </c>
      <c r="E68" s="21">
        <v>43</v>
      </c>
      <c r="F68" s="21">
        <v>51</v>
      </c>
      <c r="G68" s="15">
        <v>1610</v>
      </c>
      <c r="H68" s="15">
        <v>26451560</v>
      </c>
    </row>
    <row r="69" spans="1:8" x14ac:dyDescent="0.25">
      <c r="A69" s="3" t="s">
        <v>144</v>
      </c>
      <c r="B69" s="3" t="s">
        <v>145</v>
      </c>
      <c r="C69" s="3" t="s">
        <v>175</v>
      </c>
      <c r="D69" s="8">
        <v>56</v>
      </c>
      <c r="E69" s="21">
        <v>52</v>
      </c>
      <c r="F69" s="21">
        <v>60</v>
      </c>
      <c r="G69" s="15">
        <v>1610</v>
      </c>
      <c r="H69" s="15">
        <v>26451560</v>
      </c>
    </row>
    <row r="70" spans="1:8" x14ac:dyDescent="0.25">
      <c r="A70" s="3" t="s">
        <v>144</v>
      </c>
      <c r="B70" s="3" t="s">
        <v>145</v>
      </c>
      <c r="C70" s="3" t="s">
        <v>176</v>
      </c>
      <c r="D70" s="8">
        <v>36</v>
      </c>
      <c r="E70" s="21">
        <v>32</v>
      </c>
      <c r="F70" s="21">
        <v>40</v>
      </c>
      <c r="G70" s="15">
        <v>1610</v>
      </c>
      <c r="H70" s="15">
        <v>26451560</v>
      </c>
    </row>
    <row r="71" spans="1:8" x14ac:dyDescent="0.25">
      <c r="A71" s="3" t="s">
        <v>144</v>
      </c>
      <c r="B71" s="3" t="s">
        <v>145</v>
      </c>
      <c r="C71" s="3" t="s">
        <v>177</v>
      </c>
      <c r="D71" s="8">
        <v>55</v>
      </c>
      <c r="E71" s="21">
        <v>51</v>
      </c>
      <c r="F71" s="21">
        <v>59</v>
      </c>
      <c r="G71" s="15">
        <v>1610</v>
      </c>
      <c r="H71" s="15">
        <v>26451560</v>
      </c>
    </row>
    <row r="72" spans="1:8" x14ac:dyDescent="0.25">
      <c r="A72" s="3" t="s">
        <v>144</v>
      </c>
      <c r="B72" s="3" t="s">
        <v>145</v>
      </c>
      <c r="C72" s="3" t="s">
        <v>178</v>
      </c>
      <c r="D72" s="8">
        <v>28</v>
      </c>
      <c r="E72" s="21">
        <v>24</v>
      </c>
      <c r="F72" s="21">
        <v>31</v>
      </c>
      <c r="G72" s="15">
        <v>1610</v>
      </c>
      <c r="H72" s="15">
        <v>26451560</v>
      </c>
    </row>
    <row r="73" spans="1:8" x14ac:dyDescent="0.25">
      <c r="A73" s="3" t="s">
        <v>144</v>
      </c>
      <c r="B73" s="3" t="s">
        <v>145</v>
      </c>
      <c r="C73" s="3" t="s">
        <v>179</v>
      </c>
      <c r="D73" s="8">
        <v>45</v>
      </c>
      <c r="E73" s="21">
        <v>41</v>
      </c>
      <c r="F73" s="21">
        <v>49</v>
      </c>
      <c r="G73" s="15">
        <v>1610</v>
      </c>
      <c r="H73" s="15">
        <v>26451560</v>
      </c>
    </row>
    <row r="74" spans="1:8" x14ac:dyDescent="0.25">
      <c r="A74" s="3" t="s">
        <v>144</v>
      </c>
      <c r="B74" s="3" t="s">
        <v>145</v>
      </c>
      <c r="C74" s="3" t="s">
        <v>180</v>
      </c>
      <c r="D74" s="8">
        <v>20</v>
      </c>
      <c r="E74" s="21">
        <v>17</v>
      </c>
      <c r="F74" s="21">
        <v>24</v>
      </c>
      <c r="G74" s="15">
        <v>1610</v>
      </c>
      <c r="H74" s="15">
        <v>26451560</v>
      </c>
    </row>
    <row r="75" spans="1:8" x14ac:dyDescent="0.25">
      <c r="A75" s="3" t="s">
        <v>144</v>
      </c>
      <c r="B75" s="3" t="s">
        <v>145</v>
      </c>
      <c r="C75" s="3" t="s">
        <v>162</v>
      </c>
      <c r="D75" s="8">
        <v>1</v>
      </c>
      <c r="E75" s="21">
        <v>0</v>
      </c>
      <c r="F75" s="21">
        <v>2</v>
      </c>
      <c r="G75" s="15">
        <v>1610</v>
      </c>
      <c r="H75" s="15">
        <v>26451560</v>
      </c>
    </row>
    <row r="76" spans="1:8" x14ac:dyDescent="0.25">
      <c r="A76" s="3" t="s">
        <v>144</v>
      </c>
      <c r="B76" s="3" t="s">
        <v>145</v>
      </c>
      <c r="C76" s="3" t="s">
        <v>181</v>
      </c>
      <c r="D76" s="8">
        <v>20</v>
      </c>
      <c r="E76" s="21">
        <v>17</v>
      </c>
      <c r="F76" s="21">
        <v>23</v>
      </c>
      <c r="G76" s="15">
        <v>1610</v>
      </c>
      <c r="H76" s="15">
        <v>26451560</v>
      </c>
    </row>
    <row r="77" spans="1:8" ht="35.4" customHeight="1" x14ac:dyDescent="0.25">
      <c r="A77" s="3" t="s">
        <v>144</v>
      </c>
      <c r="B77" s="3" t="s">
        <v>146</v>
      </c>
      <c r="C77" s="3" t="s">
        <v>172</v>
      </c>
      <c r="D77" s="8">
        <v>17</v>
      </c>
      <c r="E77" s="21">
        <v>14</v>
      </c>
      <c r="F77" s="21">
        <v>19</v>
      </c>
      <c r="G77" s="15">
        <v>1670</v>
      </c>
      <c r="H77" s="15">
        <v>27837642</v>
      </c>
    </row>
    <row r="78" spans="1:8" x14ac:dyDescent="0.25">
      <c r="A78" s="3" t="s">
        <v>144</v>
      </c>
      <c r="B78" s="3" t="s">
        <v>146</v>
      </c>
      <c r="C78" s="3" t="s">
        <v>173</v>
      </c>
      <c r="D78" s="8">
        <v>10</v>
      </c>
      <c r="E78" s="21">
        <v>8</v>
      </c>
      <c r="F78" s="21">
        <v>12</v>
      </c>
      <c r="G78" s="15">
        <v>1670</v>
      </c>
      <c r="H78" s="15">
        <v>27837642</v>
      </c>
    </row>
    <row r="79" spans="1:8" x14ac:dyDescent="0.25">
      <c r="A79" s="3" t="s">
        <v>144</v>
      </c>
      <c r="B79" s="3" t="s">
        <v>146</v>
      </c>
      <c r="C79" s="3" t="s">
        <v>174</v>
      </c>
      <c r="D79" s="8">
        <v>33</v>
      </c>
      <c r="E79" s="21">
        <v>30</v>
      </c>
      <c r="F79" s="21">
        <v>37</v>
      </c>
      <c r="G79" s="15">
        <v>1670</v>
      </c>
      <c r="H79" s="15">
        <v>27837642</v>
      </c>
    </row>
    <row r="80" spans="1:8" x14ac:dyDescent="0.25">
      <c r="A80" s="3" t="s">
        <v>144</v>
      </c>
      <c r="B80" s="3" t="s">
        <v>146</v>
      </c>
      <c r="C80" s="3" t="s">
        <v>175</v>
      </c>
      <c r="D80" s="8">
        <v>45</v>
      </c>
      <c r="E80" s="21">
        <v>41</v>
      </c>
      <c r="F80" s="21">
        <v>49</v>
      </c>
      <c r="G80" s="15">
        <v>1670</v>
      </c>
      <c r="H80" s="15">
        <v>27837642</v>
      </c>
    </row>
    <row r="81" spans="1:9" x14ac:dyDescent="0.25">
      <c r="A81" s="3" t="s">
        <v>144</v>
      </c>
      <c r="B81" s="3" t="s">
        <v>146</v>
      </c>
      <c r="C81" s="3" t="s">
        <v>176</v>
      </c>
      <c r="D81" s="8">
        <v>30</v>
      </c>
      <c r="E81" s="21">
        <v>27</v>
      </c>
      <c r="F81" s="21">
        <v>34</v>
      </c>
      <c r="G81" s="15">
        <v>1670</v>
      </c>
      <c r="H81" s="15">
        <v>27837642</v>
      </c>
    </row>
    <row r="82" spans="1:9" x14ac:dyDescent="0.25">
      <c r="A82" s="3" t="s">
        <v>144</v>
      </c>
      <c r="B82" s="3" t="s">
        <v>146</v>
      </c>
      <c r="C82" s="3" t="s">
        <v>177</v>
      </c>
      <c r="D82" s="8">
        <v>48</v>
      </c>
      <c r="E82" s="21">
        <v>44</v>
      </c>
      <c r="F82" s="21">
        <v>51</v>
      </c>
      <c r="G82" s="15">
        <v>1670</v>
      </c>
      <c r="H82" s="15">
        <v>27837642</v>
      </c>
    </row>
    <row r="83" spans="1:9" x14ac:dyDescent="0.25">
      <c r="A83" s="3" t="s">
        <v>144</v>
      </c>
      <c r="B83" s="3" t="s">
        <v>146</v>
      </c>
      <c r="C83" s="3" t="s">
        <v>178</v>
      </c>
      <c r="D83" s="8">
        <v>23</v>
      </c>
      <c r="E83" s="21">
        <v>20</v>
      </c>
      <c r="F83" s="21">
        <v>26</v>
      </c>
      <c r="G83" s="15">
        <v>1670</v>
      </c>
      <c r="H83" s="15">
        <v>27837642</v>
      </c>
    </row>
    <row r="84" spans="1:9" x14ac:dyDescent="0.25">
      <c r="A84" s="3" t="s">
        <v>144</v>
      </c>
      <c r="B84" s="3" t="s">
        <v>146</v>
      </c>
      <c r="C84" s="3" t="s">
        <v>179</v>
      </c>
      <c r="D84" s="8">
        <v>40</v>
      </c>
      <c r="E84" s="21">
        <v>36</v>
      </c>
      <c r="F84" s="21">
        <v>43</v>
      </c>
      <c r="G84" s="15">
        <v>1670</v>
      </c>
      <c r="H84" s="15">
        <v>27837642</v>
      </c>
    </row>
    <row r="85" spans="1:9" x14ac:dyDescent="0.25">
      <c r="A85" s="3" t="s">
        <v>144</v>
      </c>
      <c r="B85" s="3" t="s">
        <v>146</v>
      </c>
      <c r="C85" s="3" t="s">
        <v>180</v>
      </c>
      <c r="D85" s="8">
        <v>9</v>
      </c>
      <c r="E85" s="21">
        <v>7</v>
      </c>
      <c r="F85" s="21">
        <v>11</v>
      </c>
      <c r="G85" s="15">
        <v>1670</v>
      </c>
      <c r="H85" s="15">
        <v>27837642</v>
      </c>
    </row>
    <row r="86" spans="1:9" x14ac:dyDescent="0.25">
      <c r="A86" s="3" t="s">
        <v>144</v>
      </c>
      <c r="B86" s="3" t="s">
        <v>146</v>
      </c>
      <c r="C86" s="3" t="s">
        <v>162</v>
      </c>
      <c r="D86" s="8">
        <v>1</v>
      </c>
      <c r="E86" s="21">
        <v>0</v>
      </c>
      <c r="F86" s="21">
        <v>2</v>
      </c>
      <c r="G86" s="15">
        <v>1670</v>
      </c>
      <c r="H86" s="15">
        <v>27837642</v>
      </c>
    </row>
    <row r="87" spans="1:9" x14ac:dyDescent="0.25">
      <c r="A87" s="3" t="s">
        <v>144</v>
      </c>
      <c r="B87" s="3" t="s">
        <v>146</v>
      </c>
      <c r="C87" s="3" t="s">
        <v>181</v>
      </c>
      <c r="D87" s="8">
        <v>26</v>
      </c>
      <c r="E87" s="21">
        <v>23</v>
      </c>
      <c r="F87" s="21">
        <v>29</v>
      </c>
      <c r="G87" s="15">
        <v>1670</v>
      </c>
      <c r="H87" s="15">
        <v>27837642</v>
      </c>
    </row>
    <row r="88" spans="1:9" ht="35.4" customHeight="1" x14ac:dyDescent="0.25">
      <c r="A88" t="s">
        <v>149</v>
      </c>
      <c r="B88" s="3" t="s">
        <v>136</v>
      </c>
      <c r="C88" s="3" t="s">
        <v>172</v>
      </c>
      <c r="D88" s="8">
        <v>35</v>
      </c>
      <c r="E88" s="21">
        <v>31</v>
      </c>
      <c r="F88" s="21">
        <v>39</v>
      </c>
      <c r="G88" s="15">
        <v>1240</v>
      </c>
      <c r="H88" s="15">
        <v>22307459</v>
      </c>
      <c r="I88" s="3" t="s">
        <v>150</v>
      </c>
    </row>
    <row r="89" spans="1:9" x14ac:dyDescent="0.25">
      <c r="A89" t="s">
        <v>149</v>
      </c>
      <c r="B89" s="3" t="s">
        <v>136</v>
      </c>
      <c r="C89" s="3" t="s">
        <v>173</v>
      </c>
      <c r="D89" s="8">
        <v>25</v>
      </c>
      <c r="E89" s="21">
        <v>22</v>
      </c>
      <c r="F89" s="21">
        <v>29</v>
      </c>
      <c r="G89" s="15">
        <v>1240</v>
      </c>
      <c r="H89" s="15">
        <v>22307459</v>
      </c>
      <c r="I89" s="3" t="s">
        <v>150</v>
      </c>
    </row>
    <row r="90" spans="1:9" x14ac:dyDescent="0.25">
      <c r="A90" t="s">
        <v>149</v>
      </c>
      <c r="B90" s="3" t="s">
        <v>136</v>
      </c>
      <c r="C90" s="3" t="s">
        <v>174</v>
      </c>
      <c r="D90" s="8">
        <v>59</v>
      </c>
      <c r="E90" s="21">
        <v>54</v>
      </c>
      <c r="F90" s="21">
        <v>63</v>
      </c>
      <c r="G90" s="15">
        <v>1240</v>
      </c>
      <c r="H90" s="15">
        <v>22307459</v>
      </c>
      <c r="I90" s="3" t="s">
        <v>150</v>
      </c>
    </row>
    <row r="91" spans="1:9" x14ac:dyDescent="0.25">
      <c r="A91" t="s">
        <v>149</v>
      </c>
      <c r="B91" s="3" t="s">
        <v>136</v>
      </c>
      <c r="C91" s="3" t="s">
        <v>175</v>
      </c>
      <c r="D91" s="8">
        <v>70</v>
      </c>
      <c r="E91" s="21">
        <v>66</v>
      </c>
      <c r="F91" s="21">
        <v>74</v>
      </c>
      <c r="G91" s="15">
        <v>1240</v>
      </c>
      <c r="H91" s="15">
        <v>22307459</v>
      </c>
      <c r="I91" s="3" t="s">
        <v>150</v>
      </c>
    </row>
    <row r="92" spans="1:9" x14ac:dyDescent="0.25">
      <c r="A92" t="s">
        <v>149</v>
      </c>
      <c r="B92" s="3" t="s">
        <v>136</v>
      </c>
      <c r="C92" s="3" t="s">
        <v>176</v>
      </c>
      <c r="D92" s="8">
        <v>47</v>
      </c>
      <c r="E92" s="21">
        <v>43</v>
      </c>
      <c r="F92" s="21">
        <v>52</v>
      </c>
      <c r="G92" s="15">
        <v>1240</v>
      </c>
      <c r="H92" s="15">
        <v>22307459</v>
      </c>
      <c r="I92" s="3" t="s">
        <v>150</v>
      </c>
    </row>
    <row r="93" spans="1:9" x14ac:dyDescent="0.25">
      <c r="A93" t="s">
        <v>149</v>
      </c>
      <c r="B93" s="3" t="s">
        <v>136</v>
      </c>
      <c r="C93" s="3" t="s">
        <v>177</v>
      </c>
      <c r="D93" s="8">
        <v>72</v>
      </c>
      <c r="E93" s="21">
        <v>68</v>
      </c>
      <c r="F93" s="21">
        <v>76</v>
      </c>
      <c r="G93" s="15">
        <v>1240</v>
      </c>
      <c r="H93" s="15">
        <v>22307459</v>
      </c>
      <c r="I93" s="3" t="s">
        <v>150</v>
      </c>
    </row>
    <row r="94" spans="1:9" x14ac:dyDescent="0.25">
      <c r="A94" t="s">
        <v>149</v>
      </c>
      <c r="B94" s="3" t="s">
        <v>136</v>
      </c>
      <c r="C94" s="3" t="s">
        <v>178</v>
      </c>
      <c r="D94" s="8">
        <v>38</v>
      </c>
      <c r="E94" s="21">
        <v>34</v>
      </c>
      <c r="F94" s="21">
        <v>42</v>
      </c>
      <c r="G94" s="15">
        <v>1240</v>
      </c>
      <c r="H94" s="15">
        <v>22307459</v>
      </c>
      <c r="I94" s="3" t="s">
        <v>150</v>
      </c>
    </row>
    <row r="95" spans="1:9" x14ac:dyDescent="0.25">
      <c r="A95" t="s">
        <v>149</v>
      </c>
      <c r="B95" s="3" t="s">
        <v>136</v>
      </c>
      <c r="C95" s="3" t="s">
        <v>179</v>
      </c>
      <c r="D95" s="8">
        <v>63</v>
      </c>
      <c r="E95" s="21">
        <v>59</v>
      </c>
      <c r="F95" s="21">
        <v>67</v>
      </c>
      <c r="G95" s="15">
        <v>1240</v>
      </c>
      <c r="H95" s="15">
        <v>22307459</v>
      </c>
      <c r="I95" s="3" t="s">
        <v>150</v>
      </c>
    </row>
    <row r="96" spans="1:9" x14ac:dyDescent="0.25">
      <c r="A96" t="s">
        <v>149</v>
      </c>
      <c r="B96" s="3" t="s">
        <v>136</v>
      </c>
      <c r="C96" s="3" t="s">
        <v>180</v>
      </c>
      <c r="D96" s="8">
        <v>26</v>
      </c>
      <c r="E96" s="21">
        <v>22</v>
      </c>
      <c r="F96" s="21">
        <v>30</v>
      </c>
      <c r="G96" s="15">
        <v>1240</v>
      </c>
      <c r="H96" s="15">
        <v>22307459</v>
      </c>
      <c r="I96" s="3" t="s">
        <v>150</v>
      </c>
    </row>
    <row r="97" spans="1:9" x14ac:dyDescent="0.25">
      <c r="A97" t="s">
        <v>149</v>
      </c>
      <c r="B97" s="3" t="s">
        <v>136</v>
      </c>
      <c r="C97" s="3" t="s">
        <v>162</v>
      </c>
      <c r="D97" s="8">
        <v>1</v>
      </c>
      <c r="E97" s="21">
        <v>0</v>
      </c>
      <c r="F97" s="21">
        <v>2</v>
      </c>
      <c r="G97" s="15">
        <v>1240</v>
      </c>
      <c r="H97" s="15">
        <v>22307459</v>
      </c>
      <c r="I97" s="3" t="s">
        <v>150</v>
      </c>
    </row>
    <row r="98" spans="1:9" x14ac:dyDescent="0.25">
      <c r="A98" t="s">
        <v>149</v>
      </c>
      <c r="B98" s="3" t="s">
        <v>136</v>
      </c>
      <c r="C98" s="3" t="s">
        <v>181</v>
      </c>
      <c r="D98" s="8">
        <v>6</v>
      </c>
      <c r="E98" s="21">
        <v>4</v>
      </c>
      <c r="F98" s="21">
        <v>8</v>
      </c>
      <c r="G98" s="15">
        <v>1240</v>
      </c>
      <c r="H98" s="15">
        <v>22307459</v>
      </c>
      <c r="I98" s="3" t="s">
        <v>150</v>
      </c>
    </row>
    <row r="99" spans="1:9" ht="35.4" customHeight="1" x14ac:dyDescent="0.25">
      <c r="A99" t="s">
        <v>149</v>
      </c>
      <c r="B99" s="3" t="s">
        <v>133</v>
      </c>
      <c r="C99" s="3" t="s">
        <v>172</v>
      </c>
      <c r="D99" s="8">
        <v>15</v>
      </c>
      <c r="E99" s="21">
        <v>12</v>
      </c>
      <c r="F99" s="21">
        <v>18</v>
      </c>
      <c r="G99" s="15">
        <v>1420</v>
      </c>
      <c r="H99" s="15">
        <v>21287326</v>
      </c>
      <c r="I99" s="3" t="s">
        <v>150</v>
      </c>
    </row>
    <row r="100" spans="1:9" x14ac:dyDescent="0.25">
      <c r="A100" t="s">
        <v>149</v>
      </c>
      <c r="B100" s="3" t="s">
        <v>133</v>
      </c>
      <c r="C100" s="3" t="s">
        <v>173</v>
      </c>
      <c r="D100" s="8">
        <v>7</v>
      </c>
      <c r="E100" s="21">
        <v>5</v>
      </c>
      <c r="F100" s="21">
        <v>8</v>
      </c>
      <c r="G100" s="15">
        <v>1420</v>
      </c>
      <c r="H100" s="15">
        <v>21287326</v>
      </c>
      <c r="I100" s="3" t="s">
        <v>150</v>
      </c>
    </row>
    <row r="101" spans="1:9" x14ac:dyDescent="0.25">
      <c r="A101" t="s">
        <v>149</v>
      </c>
      <c r="B101" s="3" t="s">
        <v>133</v>
      </c>
      <c r="C101" s="3" t="s">
        <v>174</v>
      </c>
      <c r="D101" s="8">
        <v>30</v>
      </c>
      <c r="E101" s="21">
        <v>26</v>
      </c>
      <c r="F101" s="21">
        <v>34</v>
      </c>
      <c r="G101" s="15">
        <v>1420</v>
      </c>
      <c r="H101" s="15">
        <v>21287326</v>
      </c>
      <c r="I101" s="3" t="s">
        <v>150</v>
      </c>
    </row>
    <row r="102" spans="1:9" x14ac:dyDescent="0.25">
      <c r="A102" t="s">
        <v>149</v>
      </c>
      <c r="B102" s="3" t="s">
        <v>133</v>
      </c>
      <c r="C102" s="3" t="s">
        <v>175</v>
      </c>
      <c r="D102" s="8">
        <v>42</v>
      </c>
      <c r="E102" s="21">
        <v>38</v>
      </c>
      <c r="F102" s="21">
        <v>46</v>
      </c>
      <c r="G102" s="15">
        <v>1420</v>
      </c>
      <c r="H102" s="15">
        <v>21287326</v>
      </c>
      <c r="I102" s="3" t="s">
        <v>150</v>
      </c>
    </row>
    <row r="103" spans="1:9" x14ac:dyDescent="0.25">
      <c r="A103" t="s">
        <v>149</v>
      </c>
      <c r="B103" s="3" t="s">
        <v>133</v>
      </c>
      <c r="C103" s="3" t="s">
        <v>176</v>
      </c>
      <c r="D103" s="8">
        <v>28</v>
      </c>
      <c r="E103" s="21">
        <v>24</v>
      </c>
      <c r="F103" s="21">
        <v>32</v>
      </c>
      <c r="G103" s="15">
        <v>1420</v>
      </c>
      <c r="H103" s="15">
        <v>21287326</v>
      </c>
      <c r="I103" s="3" t="s">
        <v>150</v>
      </c>
    </row>
    <row r="104" spans="1:9" x14ac:dyDescent="0.25">
      <c r="A104" t="s">
        <v>149</v>
      </c>
      <c r="B104" s="3" t="s">
        <v>133</v>
      </c>
      <c r="C104" s="3" t="s">
        <v>177</v>
      </c>
      <c r="D104" s="8">
        <v>44</v>
      </c>
      <c r="E104" s="21">
        <v>40</v>
      </c>
      <c r="F104" s="21">
        <v>48</v>
      </c>
      <c r="G104" s="15">
        <v>1420</v>
      </c>
      <c r="H104" s="15">
        <v>21287326</v>
      </c>
      <c r="I104" s="3" t="s">
        <v>150</v>
      </c>
    </row>
    <row r="105" spans="1:9" x14ac:dyDescent="0.25">
      <c r="A105" t="s">
        <v>149</v>
      </c>
      <c r="B105" s="3" t="s">
        <v>133</v>
      </c>
      <c r="C105" s="3" t="s">
        <v>178</v>
      </c>
      <c r="D105" s="8">
        <v>20</v>
      </c>
      <c r="E105" s="21">
        <v>17</v>
      </c>
      <c r="F105" s="21">
        <v>24</v>
      </c>
      <c r="G105" s="15">
        <v>1420</v>
      </c>
      <c r="H105" s="15">
        <v>21287326</v>
      </c>
      <c r="I105" s="3" t="s">
        <v>150</v>
      </c>
    </row>
    <row r="106" spans="1:9" x14ac:dyDescent="0.25">
      <c r="A106" t="s">
        <v>149</v>
      </c>
      <c r="B106" s="3" t="s">
        <v>133</v>
      </c>
      <c r="C106" s="3" t="s">
        <v>179</v>
      </c>
      <c r="D106" s="8">
        <v>30</v>
      </c>
      <c r="E106" s="21">
        <v>26</v>
      </c>
      <c r="F106" s="21">
        <v>34</v>
      </c>
      <c r="G106" s="15">
        <v>1420</v>
      </c>
      <c r="H106" s="15">
        <v>21287326</v>
      </c>
      <c r="I106" s="3" t="s">
        <v>150</v>
      </c>
    </row>
    <row r="107" spans="1:9" x14ac:dyDescent="0.25">
      <c r="A107" t="s">
        <v>149</v>
      </c>
      <c r="B107" s="3" t="s">
        <v>133</v>
      </c>
      <c r="C107" s="3" t="s">
        <v>180</v>
      </c>
      <c r="D107" s="8">
        <v>7</v>
      </c>
      <c r="E107" s="21">
        <v>5</v>
      </c>
      <c r="F107" s="21">
        <v>9</v>
      </c>
      <c r="G107" s="15">
        <v>1420</v>
      </c>
      <c r="H107" s="15">
        <v>21287326</v>
      </c>
      <c r="I107" s="3" t="s">
        <v>150</v>
      </c>
    </row>
    <row r="108" spans="1:9" x14ac:dyDescent="0.25">
      <c r="A108" t="s">
        <v>149</v>
      </c>
      <c r="B108" s="3" t="s">
        <v>133</v>
      </c>
      <c r="C108" s="3" t="s">
        <v>162</v>
      </c>
      <c r="D108" s="8">
        <v>1</v>
      </c>
      <c r="E108" s="21">
        <v>0</v>
      </c>
      <c r="F108" s="21">
        <v>2</v>
      </c>
      <c r="G108" s="15">
        <v>1420</v>
      </c>
      <c r="H108" s="15">
        <v>21287326</v>
      </c>
      <c r="I108" s="3" t="s">
        <v>150</v>
      </c>
    </row>
    <row r="109" spans="1:9" x14ac:dyDescent="0.25">
      <c r="A109" t="s">
        <v>149</v>
      </c>
      <c r="B109" s="3" t="s">
        <v>133</v>
      </c>
      <c r="C109" s="3" t="s">
        <v>181</v>
      </c>
      <c r="D109" s="8">
        <v>28</v>
      </c>
      <c r="E109" s="21">
        <v>25</v>
      </c>
      <c r="F109" s="21">
        <v>32</v>
      </c>
      <c r="G109" s="15">
        <v>1420</v>
      </c>
      <c r="H109" s="15">
        <v>21287326</v>
      </c>
      <c r="I109" s="3" t="s">
        <v>150</v>
      </c>
    </row>
    <row r="110" spans="1:9" ht="35.4" customHeight="1" x14ac:dyDescent="0.25">
      <c r="A110" t="s">
        <v>149</v>
      </c>
      <c r="B110" s="3" t="s">
        <v>138</v>
      </c>
      <c r="C110" s="3" t="s">
        <v>172</v>
      </c>
      <c r="D110" s="8">
        <v>10</v>
      </c>
      <c r="E110" s="21">
        <v>6</v>
      </c>
      <c r="F110" s="21">
        <v>14</v>
      </c>
      <c r="G110" s="15">
        <v>610</v>
      </c>
      <c r="H110" s="15">
        <v>10666900</v>
      </c>
      <c r="I110" s="3" t="s">
        <v>150</v>
      </c>
    </row>
    <row r="111" spans="1:9" x14ac:dyDescent="0.25">
      <c r="A111" t="s">
        <v>149</v>
      </c>
      <c r="B111" s="3" t="s">
        <v>138</v>
      </c>
      <c r="C111" s="3" t="s">
        <v>173</v>
      </c>
      <c r="D111" s="8">
        <v>8</v>
      </c>
      <c r="E111" s="21">
        <v>4</v>
      </c>
      <c r="F111" s="21">
        <v>12</v>
      </c>
      <c r="G111" s="15">
        <v>610</v>
      </c>
      <c r="H111" s="15">
        <v>10666900</v>
      </c>
      <c r="I111" s="3" t="s">
        <v>150</v>
      </c>
    </row>
    <row r="112" spans="1:9" x14ac:dyDescent="0.25">
      <c r="A112" t="s">
        <v>149</v>
      </c>
      <c r="B112" s="3" t="s">
        <v>138</v>
      </c>
      <c r="C112" s="3" t="s">
        <v>174</v>
      </c>
      <c r="D112" s="8">
        <v>21</v>
      </c>
      <c r="E112" s="21">
        <v>16</v>
      </c>
      <c r="F112" s="21">
        <v>27</v>
      </c>
      <c r="G112" s="15">
        <v>610</v>
      </c>
      <c r="H112" s="15">
        <v>10666900</v>
      </c>
      <c r="I112" s="3" t="s">
        <v>150</v>
      </c>
    </row>
    <row r="113" spans="1:9" x14ac:dyDescent="0.25">
      <c r="A113" t="s">
        <v>149</v>
      </c>
      <c r="B113" s="3" t="s">
        <v>138</v>
      </c>
      <c r="C113" s="3" t="s">
        <v>175</v>
      </c>
      <c r="D113" s="8">
        <v>28</v>
      </c>
      <c r="E113" s="21">
        <v>23</v>
      </c>
      <c r="F113" s="21">
        <v>34</v>
      </c>
      <c r="G113" s="15">
        <v>610</v>
      </c>
      <c r="H113" s="15">
        <v>10666900</v>
      </c>
      <c r="I113" s="3" t="s">
        <v>150</v>
      </c>
    </row>
    <row r="114" spans="1:9" x14ac:dyDescent="0.25">
      <c r="A114" t="s">
        <v>149</v>
      </c>
      <c r="B114" s="3" t="s">
        <v>138</v>
      </c>
      <c r="C114" s="3" t="s">
        <v>176</v>
      </c>
      <c r="D114" s="8">
        <v>14</v>
      </c>
      <c r="E114" s="21">
        <v>9</v>
      </c>
      <c r="F114" s="21">
        <v>18</v>
      </c>
      <c r="G114" s="15">
        <v>610</v>
      </c>
      <c r="H114" s="15">
        <v>10666900</v>
      </c>
      <c r="I114" s="3" t="s">
        <v>150</v>
      </c>
    </row>
    <row r="115" spans="1:9" x14ac:dyDescent="0.25">
      <c r="A115" t="s">
        <v>149</v>
      </c>
      <c r="B115" s="3" t="s">
        <v>138</v>
      </c>
      <c r="C115" s="3" t="s">
        <v>177</v>
      </c>
      <c r="D115" s="8">
        <v>23</v>
      </c>
      <c r="E115" s="21">
        <v>17</v>
      </c>
      <c r="F115" s="21">
        <v>28</v>
      </c>
      <c r="G115" s="15">
        <v>610</v>
      </c>
      <c r="H115" s="15">
        <v>10666900</v>
      </c>
      <c r="I115" s="3" t="s">
        <v>150</v>
      </c>
    </row>
    <row r="116" spans="1:9" x14ac:dyDescent="0.25">
      <c r="A116" t="s">
        <v>149</v>
      </c>
      <c r="B116" s="3" t="s">
        <v>138</v>
      </c>
      <c r="C116" s="3" t="s">
        <v>178</v>
      </c>
      <c r="D116" s="8">
        <v>8</v>
      </c>
      <c r="E116" s="21">
        <v>4</v>
      </c>
      <c r="F116" s="21">
        <v>12</v>
      </c>
      <c r="G116" s="15">
        <v>610</v>
      </c>
      <c r="H116" s="15">
        <v>10666900</v>
      </c>
      <c r="I116" s="3" t="s">
        <v>150</v>
      </c>
    </row>
    <row r="117" spans="1:9" x14ac:dyDescent="0.25">
      <c r="A117" t="s">
        <v>149</v>
      </c>
      <c r="B117" s="3" t="s">
        <v>138</v>
      </c>
      <c r="C117" s="3" t="s">
        <v>179</v>
      </c>
      <c r="D117" s="8">
        <v>23</v>
      </c>
      <c r="E117" s="21">
        <v>17</v>
      </c>
      <c r="F117" s="21">
        <v>29</v>
      </c>
      <c r="G117" s="15">
        <v>610</v>
      </c>
      <c r="H117" s="15">
        <v>10666900</v>
      </c>
      <c r="I117" s="3" t="s">
        <v>150</v>
      </c>
    </row>
    <row r="118" spans="1:9" x14ac:dyDescent="0.25">
      <c r="A118" t="s">
        <v>149</v>
      </c>
      <c r="B118" s="3" t="s">
        <v>138</v>
      </c>
      <c r="C118" s="3" t="s">
        <v>180</v>
      </c>
      <c r="D118" s="8">
        <v>5</v>
      </c>
      <c r="E118" s="21">
        <v>2</v>
      </c>
      <c r="F118" s="21">
        <v>8</v>
      </c>
      <c r="G118" s="15">
        <v>610</v>
      </c>
      <c r="H118" s="15">
        <v>10666900</v>
      </c>
      <c r="I118" s="3" t="s">
        <v>150</v>
      </c>
    </row>
    <row r="119" spans="1:9" x14ac:dyDescent="0.25">
      <c r="A119" t="s">
        <v>149</v>
      </c>
      <c r="B119" s="3" t="s">
        <v>138</v>
      </c>
      <c r="C119" s="3" t="s">
        <v>162</v>
      </c>
      <c r="D119" s="8">
        <v>1</v>
      </c>
      <c r="E119" s="21">
        <v>0</v>
      </c>
      <c r="F119" s="21">
        <v>2</v>
      </c>
      <c r="G119" s="15">
        <v>610</v>
      </c>
      <c r="H119" s="15">
        <v>10666900</v>
      </c>
      <c r="I119" s="3" t="s">
        <v>150</v>
      </c>
    </row>
    <row r="120" spans="1:9" x14ac:dyDescent="0.25">
      <c r="A120" t="s">
        <v>149</v>
      </c>
      <c r="B120" s="3" t="s">
        <v>138</v>
      </c>
      <c r="C120" s="3" t="s">
        <v>181</v>
      </c>
      <c r="D120" s="8">
        <v>48</v>
      </c>
      <c r="E120" s="21">
        <v>42</v>
      </c>
      <c r="F120" s="21">
        <v>55</v>
      </c>
      <c r="G120" s="15">
        <v>610</v>
      </c>
      <c r="H120" s="15">
        <v>10666900</v>
      </c>
      <c r="I120" s="3" t="s">
        <v>150</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
  <sheetViews>
    <sheetView workbookViewId="0"/>
  </sheetViews>
  <sheetFormatPr defaultColWidth="11.54296875" defaultRowHeight="15" x14ac:dyDescent="0.25"/>
  <cols>
    <col min="1" max="1" width="13.1796875" customWidth="1"/>
    <col min="2" max="2" width="25.36328125" customWidth="1"/>
    <col min="3" max="3" width="49.08984375" customWidth="1"/>
    <col min="4" max="8" width="16.6328125" customWidth="1"/>
  </cols>
  <sheetData>
    <row r="1" spans="1:9" ht="21" x14ac:dyDescent="0.4">
      <c r="A1" s="5" t="s">
        <v>182</v>
      </c>
    </row>
    <row r="2" spans="1:9" ht="16.8" x14ac:dyDescent="0.3">
      <c r="A2" s="22" t="s">
        <v>118</v>
      </c>
    </row>
    <row r="3" spans="1:9" x14ac:dyDescent="0.25">
      <c r="A3" t="s">
        <v>38</v>
      </c>
    </row>
    <row r="4" spans="1:9" x14ac:dyDescent="0.25">
      <c r="A4" t="s">
        <v>119</v>
      </c>
    </row>
    <row r="5" spans="1:9" x14ac:dyDescent="0.25">
      <c r="A5" s="11" t="str">
        <f>HYPERLINK("#'Cover'!A1", "If shorthand is present please refer to the Suppression and shorthand section in the Cover_sheet tab")</f>
        <v>If shorthand is present please refer to the Suppression and shorthand section in the Cover_sheet tab</v>
      </c>
    </row>
    <row r="6" spans="1:9" x14ac:dyDescent="0.25">
      <c r="A6" s="11" t="str">
        <f>HYPERLINK("#'Contents'!A1", "Return to table of contents")</f>
        <v>Return to table of contents</v>
      </c>
    </row>
    <row r="7" spans="1:9" x14ac:dyDescent="0.25">
      <c r="A7" t="s">
        <v>121</v>
      </c>
    </row>
    <row r="8" spans="1:9" ht="15.6" x14ac:dyDescent="0.3">
      <c r="A8" s="12" t="s">
        <v>183</v>
      </c>
    </row>
    <row r="9" spans="1:9" ht="15.6" x14ac:dyDescent="0.3">
      <c r="A9" s="12" t="s">
        <v>1</v>
      </c>
    </row>
    <row r="10" spans="1:9" ht="31.2" x14ac:dyDescent="0.3">
      <c r="A10" s="9" t="s">
        <v>123</v>
      </c>
      <c r="B10" s="9" t="s">
        <v>124</v>
      </c>
      <c r="C10" s="9" t="s">
        <v>125</v>
      </c>
      <c r="D10" s="10" t="s">
        <v>126</v>
      </c>
      <c r="E10" s="10" t="s">
        <v>127</v>
      </c>
      <c r="F10" s="10" t="s">
        <v>128</v>
      </c>
      <c r="G10" s="10" t="s">
        <v>21</v>
      </c>
      <c r="H10" s="10" t="s">
        <v>18</v>
      </c>
      <c r="I10" s="9" t="s">
        <v>47</v>
      </c>
    </row>
    <row r="11" spans="1:9" x14ac:dyDescent="0.25">
      <c r="A11" s="3" t="s">
        <v>129</v>
      </c>
      <c r="B11" s="3" t="s">
        <v>130</v>
      </c>
      <c r="C11" s="3" t="s">
        <v>184</v>
      </c>
      <c r="D11" s="8">
        <v>24</v>
      </c>
      <c r="E11" s="21">
        <v>22</v>
      </c>
      <c r="F11" s="21">
        <v>26</v>
      </c>
      <c r="G11" s="15">
        <v>3280</v>
      </c>
      <c r="H11" s="15">
        <v>54220410</v>
      </c>
    </row>
    <row r="12" spans="1:9" x14ac:dyDescent="0.25">
      <c r="A12" s="3" t="s">
        <v>129</v>
      </c>
      <c r="B12" s="3" t="s">
        <v>130</v>
      </c>
      <c r="C12" s="3" t="s">
        <v>185</v>
      </c>
      <c r="D12" s="8">
        <v>39</v>
      </c>
      <c r="E12" s="21">
        <v>36</v>
      </c>
      <c r="F12" s="21">
        <v>41</v>
      </c>
      <c r="G12" s="15">
        <v>3280</v>
      </c>
      <c r="H12" s="15">
        <v>54220410</v>
      </c>
    </row>
    <row r="13" spans="1:9" x14ac:dyDescent="0.25">
      <c r="A13" s="3" t="s">
        <v>129</v>
      </c>
      <c r="B13" s="3" t="s">
        <v>130</v>
      </c>
      <c r="C13" s="3" t="s">
        <v>186</v>
      </c>
      <c r="D13" s="8">
        <v>24</v>
      </c>
      <c r="E13" s="21">
        <v>22</v>
      </c>
      <c r="F13" s="21">
        <v>26</v>
      </c>
      <c r="G13" s="15">
        <v>3280</v>
      </c>
      <c r="H13" s="15">
        <v>54220410</v>
      </c>
    </row>
    <row r="14" spans="1:9" x14ac:dyDescent="0.25">
      <c r="A14" s="3" t="s">
        <v>129</v>
      </c>
      <c r="B14" s="3" t="s">
        <v>130</v>
      </c>
      <c r="C14" s="3" t="s">
        <v>187</v>
      </c>
      <c r="D14" s="8">
        <v>68</v>
      </c>
      <c r="E14" s="21">
        <v>65</v>
      </c>
      <c r="F14" s="21">
        <v>70</v>
      </c>
      <c r="G14" s="15">
        <v>3280</v>
      </c>
      <c r="H14" s="15">
        <v>54220410</v>
      </c>
    </row>
    <row r="15" spans="1:9" x14ac:dyDescent="0.25">
      <c r="A15" s="3" t="s">
        <v>129</v>
      </c>
      <c r="B15" s="3" t="s">
        <v>130</v>
      </c>
      <c r="C15" s="3" t="s">
        <v>188</v>
      </c>
      <c r="D15" s="8">
        <v>52</v>
      </c>
      <c r="E15" s="21">
        <v>50</v>
      </c>
      <c r="F15" s="21">
        <v>55</v>
      </c>
      <c r="G15" s="15">
        <v>3280</v>
      </c>
      <c r="H15" s="15">
        <v>54220410</v>
      </c>
    </row>
    <row r="16" spans="1:9" x14ac:dyDescent="0.25">
      <c r="A16" s="3" t="s">
        <v>129</v>
      </c>
      <c r="B16" s="3" t="s">
        <v>130</v>
      </c>
      <c r="C16" s="3" t="s">
        <v>189</v>
      </c>
      <c r="D16" s="8">
        <v>37</v>
      </c>
      <c r="E16" s="21">
        <v>35</v>
      </c>
      <c r="F16" s="21">
        <v>40</v>
      </c>
      <c r="G16" s="15">
        <v>3280</v>
      </c>
      <c r="H16" s="15">
        <v>54220410</v>
      </c>
    </row>
    <row r="17" spans="1:8" x14ac:dyDescent="0.25">
      <c r="A17" s="3" t="s">
        <v>129</v>
      </c>
      <c r="B17" s="3" t="s">
        <v>130</v>
      </c>
      <c r="C17" s="3" t="s">
        <v>190</v>
      </c>
      <c r="D17" s="8">
        <v>44</v>
      </c>
      <c r="E17" s="21">
        <v>42</v>
      </c>
      <c r="F17" s="21">
        <v>47</v>
      </c>
      <c r="G17" s="15">
        <v>3280</v>
      </c>
      <c r="H17" s="15">
        <v>54220410</v>
      </c>
    </row>
    <row r="18" spans="1:8" x14ac:dyDescent="0.25">
      <c r="A18" s="3" t="s">
        <v>129</v>
      </c>
      <c r="B18" s="3" t="s">
        <v>130</v>
      </c>
      <c r="C18" s="3" t="s">
        <v>162</v>
      </c>
      <c r="D18" s="8">
        <v>1</v>
      </c>
      <c r="E18" s="21">
        <v>0</v>
      </c>
      <c r="F18" s="21">
        <v>1</v>
      </c>
      <c r="G18" s="15">
        <v>3280</v>
      </c>
      <c r="H18" s="15">
        <v>54220410</v>
      </c>
    </row>
    <row r="19" spans="1:8" x14ac:dyDescent="0.25">
      <c r="A19" s="3" t="s">
        <v>129</v>
      </c>
      <c r="B19" s="3" t="s">
        <v>130</v>
      </c>
      <c r="C19" s="3" t="s">
        <v>181</v>
      </c>
      <c r="D19" s="8">
        <v>20</v>
      </c>
      <c r="E19" s="21">
        <v>18</v>
      </c>
      <c r="F19" s="21">
        <v>22</v>
      </c>
      <c r="G19" s="15">
        <v>3280</v>
      </c>
      <c r="H19" s="15">
        <v>54220410</v>
      </c>
    </row>
    <row r="20" spans="1:8" ht="35.4" customHeight="1" x14ac:dyDescent="0.25">
      <c r="A20" s="3" t="s">
        <v>139</v>
      </c>
      <c r="B20" s="3" t="s">
        <v>140</v>
      </c>
      <c r="C20" s="3" t="s">
        <v>184</v>
      </c>
      <c r="D20" s="8">
        <v>20</v>
      </c>
      <c r="E20" s="21">
        <v>14</v>
      </c>
      <c r="F20" s="21">
        <v>26</v>
      </c>
      <c r="G20" s="15">
        <v>230</v>
      </c>
      <c r="H20" s="15">
        <v>11165257</v>
      </c>
    </row>
    <row r="21" spans="1:8" x14ac:dyDescent="0.25">
      <c r="A21" s="3" t="s">
        <v>139</v>
      </c>
      <c r="B21" s="3" t="s">
        <v>140</v>
      </c>
      <c r="C21" s="3" t="s">
        <v>185</v>
      </c>
      <c r="D21" s="8">
        <v>37</v>
      </c>
      <c r="E21" s="21">
        <v>30</v>
      </c>
      <c r="F21" s="21">
        <v>44</v>
      </c>
      <c r="G21" s="15">
        <v>230</v>
      </c>
      <c r="H21" s="15">
        <v>11165257</v>
      </c>
    </row>
    <row r="22" spans="1:8" x14ac:dyDescent="0.25">
      <c r="A22" s="3" t="s">
        <v>139</v>
      </c>
      <c r="B22" s="3" t="s">
        <v>140</v>
      </c>
      <c r="C22" s="3" t="s">
        <v>186</v>
      </c>
      <c r="D22" s="8">
        <v>20</v>
      </c>
      <c r="E22" s="21">
        <v>14</v>
      </c>
      <c r="F22" s="21">
        <v>25</v>
      </c>
      <c r="G22" s="15">
        <v>230</v>
      </c>
      <c r="H22" s="15">
        <v>11165257</v>
      </c>
    </row>
    <row r="23" spans="1:8" x14ac:dyDescent="0.25">
      <c r="A23" s="3" t="s">
        <v>139</v>
      </c>
      <c r="B23" s="3" t="s">
        <v>140</v>
      </c>
      <c r="C23" s="3" t="s">
        <v>187</v>
      </c>
      <c r="D23" s="8">
        <v>69</v>
      </c>
      <c r="E23" s="21">
        <v>62</v>
      </c>
      <c r="F23" s="21">
        <v>76</v>
      </c>
      <c r="G23" s="15">
        <v>230</v>
      </c>
      <c r="H23" s="15">
        <v>11165257</v>
      </c>
    </row>
    <row r="24" spans="1:8" x14ac:dyDescent="0.25">
      <c r="A24" s="3" t="s">
        <v>139</v>
      </c>
      <c r="B24" s="3" t="s">
        <v>140</v>
      </c>
      <c r="C24" s="3" t="s">
        <v>188</v>
      </c>
      <c r="D24" s="8">
        <v>53</v>
      </c>
      <c r="E24" s="21">
        <v>46</v>
      </c>
      <c r="F24" s="21">
        <v>61</v>
      </c>
      <c r="G24" s="15">
        <v>230</v>
      </c>
      <c r="H24" s="15">
        <v>11165257</v>
      </c>
    </row>
    <row r="25" spans="1:8" x14ac:dyDescent="0.25">
      <c r="A25" s="3" t="s">
        <v>139</v>
      </c>
      <c r="B25" s="3" t="s">
        <v>140</v>
      </c>
      <c r="C25" s="3" t="s">
        <v>189</v>
      </c>
      <c r="D25" s="8">
        <v>28</v>
      </c>
      <c r="E25" s="21">
        <v>22</v>
      </c>
      <c r="F25" s="21">
        <v>35</v>
      </c>
      <c r="G25" s="15">
        <v>230</v>
      </c>
      <c r="H25" s="15">
        <v>11165257</v>
      </c>
    </row>
    <row r="26" spans="1:8" x14ac:dyDescent="0.25">
      <c r="A26" s="3" t="s">
        <v>139</v>
      </c>
      <c r="B26" s="3" t="s">
        <v>140</v>
      </c>
      <c r="C26" s="3" t="s">
        <v>190</v>
      </c>
      <c r="D26" s="8">
        <v>44</v>
      </c>
      <c r="E26" s="21">
        <v>37</v>
      </c>
      <c r="F26" s="21">
        <v>51</v>
      </c>
      <c r="G26" s="15">
        <v>230</v>
      </c>
      <c r="H26" s="15">
        <v>11165257</v>
      </c>
    </row>
    <row r="27" spans="1:8" x14ac:dyDescent="0.25">
      <c r="A27" s="3" t="s">
        <v>139</v>
      </c>
      <c r="B27" s="3" t="s">
        <v>140</v>
      </c>
      <c r="C27" s="3" t="s">
        <v>162</v>
      </c>
      <c r="D27" s="17" t="s">
        <v>152</v>
      </c>
      <c r="E27" s="21" t="s">
        <v>152</v>
      </c>
      <c r="F27" s="21" t="s">
        <v>152</v>
      </c>
      <c r="G27" s="15">
        <v>230</v>
      </c>
      <c r="H27" s="15">
        <v>11165257</v>
      </c>
    </row>
    <row r="28" spans="1:8" x14ac:dyDescent="0.25">
      <c r="A28" s="3" t="s">
        <v>139</v>
      </c>
      <c r="B28" s="3" t="s">
        <v>140</v>
      </c>
      <c r="C28" s="3" t="s">
        <v>181</v>
      </c>
      <c r="D28" s="8">
        <v>15</v>
      </c>
      <c r="E28" s="21">
        <v>10</v>
      </c>
      <c r="F28" s="21">
        <v>20</v>
      </c>
      <c r="G28" s="15">
        <v>230</v>
      </c>
      <c r="H28" s="15">
        <v>11165257</v>
      </c>
    </row>
    <row r="29" spans="1:8" ht="35.4" customHeight="1" x14ac:dyDescent="0.25">
      <c r="A29" s="3" t="s">
        <v>139</v>
      </c>
      <c r="B29" s="3" t="s">
        <v>141</v>
      </c>
      <c r="C29" s="3" t="s">
        <v>184</v>
      </c>
      <c r="D29" s="8">
        <v>30</v>
      </c>
      <c r="E29" s="21">
        <v>25</v>
      </c>
      <c r="F29" s="21">
        <v>35</v>
      </c>
      <c r="G29" s="15">
        <v>450</v>
      </c>
      <c r="H29" s="15">
        <v>17106460</v>
      </c>
    </row>
    <row r="30" spans="1:8" x14ac:dyDescent="0.25">
      <c r="A30" s="3" t="s">
        <v>139</v>
      </c>
      <c r="B30" s="3" t="s">
        <v>141</v>
      </c>
      <c r="C30" s="3" t="s">
        <v>185</v>
      </c>
      <c r="D30" s="8">
        <v>42</v>
      </c>
      <c r="E30" s="21">
        <v>37</v>
      </c>
      <c r="F30" s="21">
        <v>48</v>
      </c>
      <c r="G30" s="15">
        <v>450</v>
      </c>
      <c r="H30" s="15">
        <v>17106460</v>
      </c>
    </row>
    <row r="31" spans="1:8" x14ac:dyDescent="0.25">
      <c r="A31" s="3" t="s">
        <v>139</v>
      </c>
      <c r="B31" s="3" t="s">
        <v>141</v>
      </c>
      <c r="C31" s="3" t="s">
        <v>186</v>
      </c>
      <c r="D31" s="8">
        <v>26</v>
      </c>
      <c r="E31" s="21">
        <v>21</v>
      </c>
      <c r="F31" s="21">
        <v>31</v>
      </c>
      <c r="G31" s="15">
        <v>450</v>
      </c>
      <c r="H31" s="15">
        <v>17106460</v>
      </c>
    </row>
    <row r="32" spans="1:8" x14ac:dyDescent="0.25">
      <c r="A32" s="3" t="s">
        <v>139</v>
      </c>
      <c r="B32" s="3" t="s">
        <v>141</v>
      </c>
      <c r="C32" s="3" t="s">
        <v>187</v>
      </c>
      <c r="D32" s="8">
        <v>77</v>
      </c>
      <c r="E32" s="21">
        <v>72</v>
      </c>
      <c r="F32" s="21">
        <v>81</v>
      </c>
      <c r="G32" s="15">
        <v>450</v>
      </c>
      <c r="H32" s="15">
        <v>17106460</v>
      </c>
    </row>
    <row r="33" spans="1:8" x14ac:dyDescent="0.25">
      <c r="A33" s="3" t="s">
        <v>139</v>
      </c>
      <c r="B33" s="3" t="s">
        <v>141</v>
      </c>
      <c r="C33" s="3" t="s">
        <v>188</v>
      </c>
      <c r="D33" s="8">
        <v>62</v>
      </c>
      <c r="E33" s="21">
        <v>57</v>
      </c>
      <c r="F33" s="21">
        <v>67</v>
      </c>
      <c r="G33" s="15">
        <v>450</v>
      </c>
      <c r="H33" s="15">
        <v>17106460</v>
      </c>
    </row>
    <row r="34" spans="1:8" x14ac:dyDescent="0.25">
      <c r="A34" s="3" t="s">
        <v>139</v>
      </c>
      <c r="B34" s="3" t="s">
        <v>141</v>
      </c>
      <c r="C34" s="3" t="s">
        <v>189</v>
      </c>
      <c r="D34" s="8">
        <v>42</v>
      </c>
      <c r="E34" s="21">
        <v>37</v>
      </c>
      <c r="F34" s="21">
        <v>48</v>
      </c>
      <c r="G34" s="15">
        <v>450</v>
      </c>
      <c r="H34" s="15">
        <v>17106460</v>
      </c>
    </row>
    <row r="35" spans="1:8" x14ac:dyDescent="0.25">
      <c r="A35" s="3" t="s">
        <v>139</v>
      </c>
      <c r="B35" s="3" t="s">
        <v>141</v>
      </c>
      <c r="C35" s="3" t="s">
        <v>190</v>
      </c>
      <c r="D35" s="8">
        <v>49</v>
      </c>
      <c r="E35" s="21">
        <v>44</v>
      </c>
      <c r="F35" s="21">
        <v>55</v>
      </c>
      <c r="G35" s="15">
        <v>450</v>
      </c>
      <c r="H35" s="15">
        <v>17106460</v>
      </c>
    </row>
    <row r="36" spans="1:8" x14ac:dyDescent="0.25">
      <c r="A36" s="3" t="s">
        <v>139</v>
      </c>
      <c r="B36" s="3" t="s">
        <v>141</v>
      </c>
      <c r="C36" s="3" t="s">
        <v>162</v>
      </c>
      <c r="D36" s="8">
        <v>1</v>
      </c>
      <c r="E36" s="21">
        <v>0</v>
      </c>
      <c r="F36" s="21">
        <v>2</v>
      </c>
      <c r="G36" s="15">
        <v>450</v>
      </c>
      <c r="H36" s="15">
        <v>17106460</v>
      </c>
    </row>
    <row r="37" spans="1:8" x14ac:dyDescent="0.25">
      <c r="A37" s="3" t="s">
        <v>139</v>
      </c>
      <c r="B37" s="3" t="s">
        <v>141</v>
      </c>
      <c r="C37" s="3" t="s">
        <v>181</v>
      </c>
      <c r="D37" s="8">
        <v>14</v>
      </c>
      <c r="E37" s="21">
        <v>10</v>
      </c>
      <c r="F37" s="21">
        <v>18</v>
      </c>
      <c r="G37" s="15">
        <v>450</v>
      </c>
      <c r="H37" s="15">
        <v>17106460</v>
      </c>
    </row>
    <row r="38" spans="1:8" ht="35.4" customHeight="1" x14ac:dyDescent="0.25">
      <c r="A38" s="3" t="s">
        <v>139</v>
      </c>
      <c r="B38" s="3" t="s">
        <v>142</v>
      </c>
      <c r="C38" s="3" t="s">
        <v>184</v>
      </c>
      <c r="D38" s="8">
        <v>23</v>
      </c>
      <c r="E38" s="21">
        <v>19</v>
      </c>
      <c r="F38" s="21">
        <v>26</v>
      </c>
      <c r="G38" s="15">
        <v>1160</v>
      </c>
      <c r="H38" s="15">
        <v>16858025</v>
      </c>
    </row>
    <row r="39" spans="1:8" x14ac:dyDescent="0.25">
      <c r="A39" s="3" t="s">
        <v>139</v>
      </c>
      <c r="B39" s="3" t="s">
        <v>142</v>
      </c>
      <c r="C39" s="3" t="s">
        <v>185</v>
      </c>
      <c r="D39" s="8">
        <v>37</v>
      </c>
      <c r="E39" s="21">
        <v>33</v>
      </c>
      <c r="F39" s="21">
        <v>41</v>
      </c>
      <c r="G39" s="15">
        <v>1160</v>
      </c>
      <c r="H39" s="15">
        <v>16858025</v>
      </c>
    </row>
    <row r="40" spans="1:8" x14ac:dyDescent="0.25">
      <c r="A40" s="3" t="s">
        <v>139</v>
      </c>
      <c r="B40" s="3" t="s">
        <v>142</v>
      </c>
      <c r="C40" s="3" t="s">
        <v>186</v>
      </c>
      <c r="D40" s="8">
        <v>26</v>
      </c>
      <c r="E40" s="21">
        <v>22</v>
      </c>
      <c r="F40" s="21">
        <v>29</v>
      </c>
      <c r="G40" s="15">
        <v>1160</v>
      </c>
      <c r="H40" s="15">
        <v>16858025</v>
      </c>
    </row>
    <row r="41" spans="1:8" x14ac:dyDescent="0.25">
      <c r="A41" s="3" t="s">
        <v>139</v>
      </c>
      <c r="B41" s="3" t="s">
        <v>142</v>
      </c>
      <c r="C41" s="3" t="s">
        <v>187</v>
      </c>
      <c r="D41" s="8">
        <v>64</v>
      </c>
      <c r="E41" s="21">
        <v>60</v>
      </c>
      <c r="F41" s="21">
        <v>68</v>
      </c>
      <c r="G41" s="15">
        <v>1160</v>
      </c>
      <c r="H41" s="15">
        <v>16858025</v>
      </c>
    </row>
    <row r="42" spans="1:8" x14ac:dyDescent="0.25">
      <c r="A42" s="3" t="s">
        <v>139</v>
      </c>
      <c r="B42" s="3" t="s">
        <v>142</v>
      </c>
      <c r="C42" s="3" t="s">
        <v>188</v>
      </c>
      <c r="D42" s="8">
        <v>51</v>
      </c>
      <c r="E42" s="21">
        <v>46</v>
      </c>
      <c r="F42" s="21">
        <v>55</v>
      </c>
      <c r="G42" s="15">
        <v>1160</v>
      </c>
      <c r="H42" s="15">
        <v>16858025</v>
      </c>
    </row>
    <row r="43" spans="1:8" x14ac:dyDescent="0.25">
      <c r="A43" s="3" t="s">
        <v>139</v>
      </c>
      <c r="B43" s="3" t="s">
        <v>142</v>
      </c>
      <c r="C43" s="3" t="s">
        <v>189</v>
      </c>
      <c r="D43" s="8">
        <v>39</v>
      </c>
      <c r="E43" s="21">
        <v>35</v>
      </c>
      <c r="F43" s="21">
        <v>43</v>
      </c>
      <c r="G43" s="15">
        <v>1160</v>
      </c>
      <c r="H43" s="15">
        <v>16858025</v>
      </c>
    </row>
    <row r="44" spans="1:8" x14ac:dyDescent="0.25">
      <c r="A44" s="3" t="s">
        <v>139</v>
      </c>
      <c r="B44" s="3" t="s">
        <v>142</v>
      </c>
      <c r="C44" s="3" t="s">
        <v>190</v>
      </c>
      <c r="D44" s="8">
        <v>41</v>
      </c>
      <c r="E44" s="21">
        <v>37</v>
      </c>
      <c r="F44" s="21">
        <v>45</v>
      </c>
      <c r="G44" s="15">
        <v>1160</v>
      </c>
      <c r="H44" s="15">
        <v>16858025</v>
      </c>
    </row>
    <row r="45" spans="1:8" x14ac:dyDescent="0.25">
      <c r="A45" s="3" t="s">
        <v>139</v>
      </c>
      <c r="B45" s="3" t="s">
        <v>142</v>
      </c>
      <c r="C45" s="3" t="s">
        <v>162</v>
      </c>
      <c r="D45" s="8">
        <v>1</v>
      </c>
      <c r="E45" s="21">
        <v>0</v>
      </c>
      <c r="F45" s="21">
        <v>2</v>
      </c>
      <c r="G45" s="15">
        <v>1160</v>
      </c>
      <c r="H45" s="15">
        <v>16858025</v>
      </c>
    </row>
    <row r="46" spans="1:8" x14ac:dyDescent="0.25">
      <c r="A46" s="3" t="s">
        <v>139</v>
      </c>
      <c r="B46" s="3" t="s">
        <v>142</v>
      </c>
      <c r="C46" s="3" t="s">
        <v>181</v>
      </c>
      <c r="D46" s="8">
        <v>24</v>
      </c>
      <c r="E46" s="21">
        <v>20</v>
      </c>
      <c r="F46" s="21">
        <v>27</v>
      </c>
      <c r="G46" s="15">
        <v>1160</v>
      </c>
      <c r="H46" s="15">
        <v>16858025</v>
      </c>
    </row>
    <row r="47" spans="1:8" ht="35.4" customHeight="1" x14ac:dyDescent="0.25">
      <c r="A47" s="3" t="s">
        <v>139</v>
      </c>
      <c r="B47" s="3" t="s">
        <v>143</v>
      </c>
      <c r="C47" s="3" t="s">
        <v>184</v>
      </c>
      <c r="D47" s="8">
        <v>20</v>
      </c>
      <c r="E47" s="21">
        <v>17</v>
      </c>
      <c r="F47" s="21">
        <v>23</v>
      </c>
      <c r="G47" s="15">
        <v>1440</v>
      </c>
      <c r="H47" s="15">
        <v>9090668</v>
      </c>
    </row>
    <row r="48" spans="1:8" x14ac:dyDescent="0.25">
      <c r="A48" s="3" t="s">
        <v>139</v>
      </c>
      <c r="B48" s="3" t="s">
        <v>143</v>
      </c>
      <c r="C48" s="3" t="s">
        <v>185</v>
      </c>
      <c r="D48" s="8">
        <v>39</v>
      </c>
      <c r="E48" s="21">
        <v>35</v>
      </c>
      <c r="F48" s="21">
        <v>42</v>
      </c>
      <c r="G48" s="15">
        <v>1440</v>
      </c>
      <c r="H48" s="15">
        <v>9090668</v>
      </c>
    </row>
    <row r="49" spans="1:8" x14ac:dyDescent="0.25">
      <c r="A49" s="3" t="s">
        <v>139</v>
      </c>
      <c r="B49" s="3" t="s">
        <v>143</v>
      </c>
      <c r="C49" s="3" t="s">
        <v>186</v>
      </c>
      <c r="D49" s="8">
        <v>23</v>
      </c>
      <c r="E49" s="21">
        <v>20</v>
      </c>
      <c r="F49" s="21">
        <v>25</v>
      </c>
      <c r="G49" s="15">
        <v>1440</v>
      </c>
      <c r="H49" s="15">
        <v>9090668</v>
      </c>
    </row>
    <row r="50" spans="1:8" x14ac:dyDescent="0.25">
      <c r="A50" s="3" t="s">
        <v>139</v>
      </c>
      <c r="B50" s="3" t="s">
        <v>143</v>
      </c>
      <c r="C50" s="3" t="s">
        <v>187</v>
      </c>
      <c r="D50" s="8">
        <v>56</v>
      </c>
      <c r="E50" s="21">
        <v>52</v>
      </c>
      <c r="F50" s="21">
        <v>59</v>
      </c>
      <c r="G50" s="15">
        <v>1440</v>
      </c>
      <c r="H50" s="15">
        <v>9090668</v>
      </c>
    </row>
    <row r="51" spans="1:8" x14ac:dyDescent="0.25">
      <c r="A51" s="3" t="s">
        <v>139</v>
      </c>
      <c r="B51" s="3" t="s">
        <v>143</v>
      </c>
      <c r="C51" s="3" t="s">
        <v>188</v>
      </c>
      <c r="D51" s="8">
        <v>36</v>
      </c>
      <c r="E51" s="21">
        <v>32</v>
      </c>
      <c r="F51" s="21">
        <v>39</v>
      </c>
      <c r="G51" s="15">
        <v>1440</v>
      </c>
      <c r="H51" s="15">
        <v>9090668</v>
      </c>
    </row>
    <row r="52" spans="1:8" x14ac:dyDescent="0.25">
      <c r="A52" s="3" t="s">
        <v>139</v>
      </c>
      <c r="B52" s="3" t="s">
        <v>143</v>
      </c>
      <c r="C52" s="3" t="s">
        <v>189</v>
      </c>
      <c r="D52" s="8">
        <v>35</v>
      </c>
      <c r="E52" s="21">
        <v>32</v>
      </c>
      <c r="F52" s="21">
        <v>39</v>
      </c>
      <c r="G52" s="15">
        <v>1440</v>
      </c>
      <c r="H52" s="15">
        <v>9090668</v>
      </c>
    </row>
    <row r="53" spans="1:8" x14ac:dyDescent="0.25">
      <c r="A53" s="3" t="s">
        <v>139</v>
      </c>
      <c r="B53" s="3" t="s">
        <v>143</v>
      </c>
      <c r="C53" s="3" t="s">
        <v>190</v>
      </c>
      <c r="D53" s="8">
        <v>41</v>
      </c>
      <c r="E53" s="21">
        <v>37</v>
      </c>
      <c r="F53" s="21">
        <v>44</v>
      </c>
      <c r="G53" s="15">
        <v>1440</v>
      </c>
      <c r="H53" s="15">
        <v>9090668</v>
      </c>
    </row>
    <row r="54" spans="1:8" x14ac:dyDescent="0.25">
      <c r="A54" s="3" t="s">
        <v>139</v>
      </c>
      <c r="B54" s="3" t="s">
        <v>143</v>
      </c>
      <c r="C54" s="3" t="s">
        <v>162</v>
      </c>
      <c r="D54" s="17" t="s">
        <v>167</v>
      </c>
      <c r="E54" s="21">
        <v>0</v>
      </c>
      <c r="F54" s="21">
        <v>1</v>
      </c>
      <c r="G54" s="15">
        <v>1440</v>
      </c>
      <c r="H54" s="15">
        <v>9090668</v>
      </c>
    </row>
    <row r="55" spans="1:8" x14ac:dyDescent="0.25">
      <c r="A55" s="3" t="s">
        <v>139</v>
      </c>
      <c r="B55" s="3" t="s">
        <v>143</v>
      </c>
      <c r="C55" s="3" t="s">
        <v>181</v>
      </c>
      <c r="D55" s="8">
        <v>28</v>
      </c>
      <c r="E55" s="21">
        <v>25</v>
      </c>
      <c r="F55" s="21">
        <v>32</v>
      </c>
      <c r="G55" s="15">
        <v>1440</v>
      </c>
      <c r="H55" s="15">
        <v>9090668</v>
      </c>
    </row>
    <row r="56" spans="1:8" ht="35.4" customHeight="1" x14ac:dyDescent="0.25">
      <c r="A56" s="3" t="s">
        <v>144</v>
      </c>
      <c r="B56" s="3" t="s">
        <v>145</v>
      </c>
      <c r="C56" s="3" t="s">
        <v>184</v>
      </c>
      <c r="D56" s="8">
        <v>24</v>
      </c>
      <c r="E56" s="21">
        <v>21</v>
      </c>
      <c r="F56" s="21">
        <v>28</v>
      </c>
      <c r="G56" s="15">
        <v>1610</v>
      </c>
      <c r="H56" s="15">
        <v>26519038</v>
      </c>
    </row>
    <row r="57" spans="1:8" x14ac:dyDescent="0.25">
      <c r="A57" s="3" t="s">
        <v>144</v>
      </c>
      <c r="B57" s="3" t="s">
        <v>145</v>
      </c>
      <c r="C57" s="3" t="s">
        <v>185</v>
      </c>
      <c r="D57" s="8">
        <v>43</v>
      </c>
      <c r="E57" s="21">
        <v>39</v>
      </c>
      <c r="F57" s="21">
        <v>47</v>
      </c>
      <c r="G57" s="15">
        <v>1610</v>
      </c>
      <c r="H57" s="15">
        <v>26519038</v>
      </c>
    </row>
    <row r="58" spans="1:8" x14ac:dyDescent="0.25">
      <c r="A58" s="3" t="s">
        <v>144</v>
      </c>
      <c r="B58" s="3" t="s">
        <v>145</v>
      </c>
      <c r="C58" s="3" t="s">
        <v>186</v>
      </c>
      <c r="D58" s="8">
        <v>28</v>
      </c>
      <c r="E58" s="21">
        <v>24</v>
      </c>
      <c r="F58" s="21">
        <v>31</v>
      </c>
      <c r="G58" s="15">
        <v>1610</v>
      </c>
      <c r="H58" s="15">
        <v>26519038</v>
      </c>
    </row>
    <row r="59" spans="1:8" x14ac:dyDescent="0.25">
      <c r="A59" s="3" t="s">
        <v>144</v>
      </c>
      <c r="B59" s="3" t="s">
        <v>145</v>
      </c>
      <c r="C59" s="3" t="s">
        <v>187</v>
      </c>
      <c r="D59" s="8">
        <v>70</v>
      </c>
      <c r="E59" s="21">
        <v>66</v>
      </c>
      <c r="F59" s="21">
        <v>73</v>
      </c>
      <c r="G59" s="15">
        <v>1610</v>
      </c>
      <c r="H59" s="15">
        <v>26519038</v>
      </c>
    </row>
    <row r="60" spans="1:8" x14ac:dyDescent="0.25">
      <c r="A60" s="3" t="s">
        <v>144</v>
      </c>
      <c r="B60" s="3" t="s">
        <v>145</v>
      </c>
      <c r="C60" s="3" t="s">
        <v>188</v>
      </c>
      <c r="D60" s="8">
        <v>54</v>
      </c>
      <c r="E60" s="21">
        <v>50</v>
      </c>
      <c r="F60" s="21">
        <v>58</v>
      </c>
      <c r="G60" s="15">
        <v>1610</v>
      </c>
      <c r="H60" s="15">
        <v>26519038</v>
      </c>
    </row>
    <row r="61" spans="1:8" x14ac:dyDescent="0.25">
      <c r="A61" s="3" t="s">
        <v>144</v>
      </c>
      <c r="B61" s="3" t="s">
        <v>145</v>
      </c>
      <c r="C61" s="3" t="s">
        <v>189</v>
      </c>
      <c r="D61" s="8">
        <v>38</v>
      </c>
      <c r="E61" s="21">
        <v>34</v>
      </c>
      <c r="F61" s="21">
        <v>42</v>
      </c>
      <c r="G61" s="15">
        <v>1610</v>
      </c>
      <c r="H61" s="15">
        <v>26519038</v>
      </c>
    </row>
    <row r="62" spans="1:8" x14ac:dyDescent="0.25">
      <c r="A62" s="3" t="s">
        <v>144</v>
      </c>
      <c r="B62" s="3" t="s">
        <v>145</v>
      </c>
      <c r="C62" s="3" t="s">
        <v>190</v>
      </c>
      <c r="D62" s="8">
        <v>48</v>
      </c>
      <c r="E62" s="21">
        <v>44</v>
      </c>
      <c r="F62" s="21">
        <v>52</v>
      </c>
      <c r="G62" s="15">
        <v>1610</v>
      </c>
      <c r="H62" s="15">
        <v>26519038</v>
      </c>
    </row>
    <row r="63" spans="1:8" x14ac:dyDescent="0.25">
      <c r="A63" s="3" t="s">
        <v>144</v>
      </c>
      <c r="B63" s="3" t="s">
        <v>145</v>
      </c>
      <c r="C63" s="3" t="s">
        <v>162</v>
      </c>
      <c r="D63" s="8">
        <v>1</v>
      </c>
      <c r="E63" s="21">
        <v>0</v>
      </c>
      <c r="F63" s="21">
        <v>1</v>
      </c>
      <c r="G63" s="15">
        <v>1610</v>
      </c>
      <c r="H63" s="15">
        <v>26519038</v>
      </c>
    </row>
    <row r="64" spans="1:8" x14ac:dyDescent="0.25">
      <c r="A64" s="3" t="s">
        <v>144</v>
      </c>
      <c r="B64" s="3" t="s">
        <v>145</v>
      </c>
      <c r="C64" s="3" t="s">
        <v>181</v>
      </c>
      <c r="D64" s="8">
        <v>18</v>
      </c>
      <c r="E64" s="21">
        <v>15</v>
      </c>
      <c r="F64" s="21">
        <v>21</v>
      </c>
      <c r="G64" s="15">
        <v>1610</v>
      </c>
      <c r="H64" s="15">
        <v>26519038</v>
      </c>
    </row>
    <row r="65" spans="1:9" ht="35.4" customHeight="1" x14ac:dyDescent="0.25">
      <c r="A65" s="3" t="s">
        <v>144</v>
      </c>
      <c r="B65" s="3" t="s">
        <v>146</v>
      </c>
      <c r="C65" s="3" t="s">
        <v>184</v>
      </c>
      <c r="D65" s="8">
        <v>24</v>
      </c>
      <c r="E65" s="21">
        <v>21</v>
      </c>
      <c r="F65" s="21">
        <v>27</v>
      </c>
      <c r="G65" s="15">
        <v>1670</v>
      </c>
      <c r="H65" s="15">
        <v>27701372</v>
      </c>
    </row>
    <row r="66" spans="1:9" x14ac:dyDescent="0.25">
      <c r="A66" s="3" t="s">
        <v>144</v>
      </c>
      <c r="B66" s="3" t="s">
        <v>146</v>
      </c>
      <c r="C66" s="3" t="s">
        <v>185</v>
      </c>
      <c r="D66" s="8">
        <v>34</v>
      </c>
      <c r="E66" s="21">
        <v>31</v>
      </c>
      <c r="F66" s="21">
        <v>38</v>
      </c>
      <c r="G66" s="15">
        <v>1670</v>
      </c>
      <c r="H66" s="15">
        <v>27701372</v>
      </c>
    </row>
    <row r="67" spans="1:9" x14ac:dyDescent="0.25">
      <c r="A67" s="3" t="s">
        <v>144</v>
      </c>
      <c r="B67" s="3" t="s">
        <v>146</v>
      </c>
      <c r="C67" s="3" t="s">
        <v>186</v>
      </c>
      <c r="D67" s="8">
        <v>21</v>
      </c>
      <c r="E67" s="21">
        <v>18</v>
      </c>
      <c r="F67" s="21">
        <v>23</v>
      </c>
      <c r="G67" s="15">
        <v>1670</v>
      </c>
      <c r="H67" s="15">
        <v>27701372</v>
      </c>
    </row>
    <row r="68" spans="1:9" x14ac:dyDescent="0.25">
      <c r="A68" s="3" t="s">
        <v>144</v>
      </c>
      <c r="B68" s="3" t="s">
        <v>146</v>
      </c>
      <c r="C68" s="3" t="s">
        <v>187</v>
      </c>
      <c r="D68" s="8">
        <v>65</v>
      </c>
      <c r="E68" s="21">
        <v>62</v>
      </c>
      <c r="F68" s="21">
        <v>69</v>
      </c>
      <c r="G68" s="15">
        <v>1670</v>
      </c>
      <c r="H68" s="15">
        <v>27701372</v>
      </c>
    </row>
    <row r="69" spans="1:9" x14ac:dyDescent="0.25">
      <c r="A69" s="3" t="s">
        <v>144</v>
      </c>
      <c r="B69" s="3" t="s">
        <v>146</v>
      </c>
      <c r="C69" s="3" t="s">
        <v>188</v>
      </c>
      <c r="D69" s="8">
        <v>51</v>
      </c>
      <c r="E69" s="21">
        <v>47</v>
      </c>
      <c r="F69" s="21">
        <v>55</v>
      </c>
      <c r="G69" s="15">
        <v>1670</v>
      </c>
      <c r="H69" s="15">
        <v>27701372</v>
      </c>
    </row>
    <row r="70" spans="1:9" x14ac:dyDescent="0.25">
      <c r="A70" s="3" t="s">
        <v>144</v>
      </c>
      <c r="B70" s="3" t="s">
        <v>146</v>
      </c>
      <c r="C70" s="3" t="s">
        <v>189</v>
      </c>
      <c r="D70" s="8">
        <v>37</v>
      </c>
      <c r="E70" s="21">
        <v>33</v>
      </c>
      <c r="F70" s="21">
        <v>40</v>
      </c>
      <c r="G70" s="15">
        <v>1670</v>
      </c>
      <c r="H70" s="15">
        <v>27701372</v>
      </c>
    </row>
    <row r="71" spans="1:9" x14ac:dyDescent="0.25">
      <c r="A71" s="3" t="s">
        <v>144</v>
      </c>
      <c r="B71" s="3" t="s">
        <v>146</v>
      </c>
      <c r="C71" s="3" t="s">
        <v>190</v>
      </c>
      <c r="D71" s="8">
        <v>41</v>
      </c>
      <c r="E71" s="21">
        <v>37</v>
      </c>
      <c r="F71" s="21">
        <v>44</v>
      </c>
      <c r="G71" s="15">
        <v>1670</v>
      </c>
      <c r="H71" s="15">
        <v>27701372</v>
      </c>
    </row>
    <row r="72" spans="1:9" x14ac:dyDescent="0.25">
      <c r="A72" s="3" t="s">
        <v>144</v>
      </c>
      <c r="B72" s="3" t="s">
        <v>146</v>
      </c>
      <c r="C72" s="3" t="s">
        <v>162</v>
      </c>
      <c r="D72" s="8">
        <v>1</v>
      </c>
      <c r="E72" s="21">
        <v>0</v>
      </c>
      <c r="F72" s="21">
        <v>2</v>
      </c>
      <c r="G72" s="15">
        <v>1670</v>
      </c>
      <c r="H72" s="15">
        <v>27701372</v>
      </c>
    </row>
    <row r="73" spans="1:9" x14ac:dyDescent="0.25">
      <c r="A73" s="3" t="s">
        <v>144</v>
      </c>
      <c r="B73" s="3" t="s">
        <v>146</v>
      </c>
      <c r="C73" s="3" t="s">
        <v>181</v>
      </c>
      <c r="D73" s="8">
        <v>21</v>
      </c>
      <c r="E73" s="21">
        <v>18</v>
      </c>
      <c r="F73" s="21">
        <v>24</v>
      </c>
      <c r="G73" s="15">
        <v>1670</v>
      </c>
      <c r="H73" s="15">
        <v>27701372</v>
      </c>
    </row>
    <row r="74" spans="1:9" ht="35.4" customHeight="1" x14ac:dyDescent="0.25">
      <c r="A74" t="s">
        <v>149</v>
      </c>
      <c r="B74" s="3" t="s">
        <v>136</v>
      </c>
      <c r="C74" s="3" t="s">
        <v>184</v>
      </c>
      <c r="D74" s="8">
        <v>36</v>
      </c>
      <c r="E74" s="21">
        <v>32</v>
      </c>
      <c r="F74" s="21">
        <v>40</v>
      </c>
      <c r="G74" s="15">
        <v>1240</v>
      </c>
      <c r="H74" s="15">
        <v>22199467</v>
      </c>
      <c r="I74" t="s">
        <v>150</v>
      </c>
    </row>
    <row r="75" spans="1:9" x14ac:dyDescent="0.25">
      <c r="A75" t="s">
        <v>149</v>
      </c>
      <c r="B75" s="3" t="s">
        <v>136</v>
      </c>
      <c r="C75" s="3" t="s">
        <v>185</v>
      </c>
      <c r="D75" s="8">
        <v>55</v>
      </c>
      <c r="E75" s="21">
        <v>51</v>
      </c>
      <c r="F75" s="21">
        <v>60</v>
      </c>
      <c r="G75" s="15">
        <v>1240</v>
      </c>
      <c r="H75" s="15">
        <v>22199467</v>
      </c>
      <c r="I75" t="s">
        <v>150</v>
      </c>
    </row>
    <row r="76" spans="1:9" x14ac:dyDescent="0.25">
      <c r="A76" t="s">
        <v>149</v>
      </c>
      <c r="B76" s="3" t="s">
        <v>136</v>
      </c>
      <c r="C76" s="3" t="s">
        <v>186</v>
      </c>
      <c r="D76" s="8">
        <v>38</v>
      </c>
      <c r="E76" s="21">
        <v>34</v>
      </c>
      <c r="F76" s="21">
        <v>42</v>
      </c>
      <c r="G76" s="15">
        <v>1240</v>
      </c>
      <c r="H76" s="15">
        <v>22199467</v>
      </c>
      <c r="I76" t="s">
        <v>150</v>
      </c>
    </row>
    <row r="77" spans="1:9" x14ac:dyDescent="0.25">
      <c r="A77" t="s">
        <v>149</v>
      </c>
      <c r="B77" s="3" t="s">
        <v>136</v>
      </c>
      <c r="C77" s="3" t="s">
        <v>187</v>
      </c>
      <c r="D77" s="8">
        <v>84</v>
      </c>
      <c r="E77" s="21">
        <v>80</v>
      </c>
      <c r="F77" s="21">
        <v>87</v>
      </c>
      <c r="G77" s="15">
        <v>1240</v>
      </c>
      <c r="H77" s="15">
        <v>22199467</v>
      </c>
      <c r="I77" t="s">
        <v>150</v>
      </c>
    </row>
    <row r="78" spans="1:9" x14ac:dyDescent="0.25">
      <c r="A78" t="s">
        <v>149</v>
      </c>
      <c r="B78" s="3" t="s">
        <v>136</v>
      </c>
      <c r="C78" s="3" t="s">
        <v>188</v>
      </c>
      <c r="D78" s="8">
        <v>71</v>
      </c>
      <c r="E78" s="21">
        <v>67</v>
      </c>
      <c r="F78" s="21">
        <v>75</v>
      </c>
      <c r="G78" s="15">
        <v>1240</v>
      </c>
      <c r="H78" s="15">
        <v>22199467</v>
      </c>
      <c r="I78" t="s">
        <v>150</v>
      </c>
    </row>
    <row r="79" spans="1:9" x14ac:dyDescent="0.25">
      <c r="A79" t="s">
        <v>149</v>
      </c>
      <c r="B79" s="3" t="s">
        <v>136</v>
      </c>
      <c r="C79" s="3" t="s">
        <v>189</v>
      </c>
      <c r="D79" s="8">
        <v>53</v>
      </c>
      <c r="E79" s="21">
        <v>48</v>
      </c>
      <c r="F79" s="21">
        <v>57</v>
      </c>
      <c r="G79" s="15">
        <v>1240</v>
      </c>
      <c r="H79" s="15">
        <v>22199467</v>
      </c>
      <c r="I79" t="s">
        <v>150</v>
      </c>
    </row>
    <row r="80" spans="1:9" x14ac:dyDescent="0.25">
      <c r="A80" t="s">
        <v>149</v>
      </c>
      <c r="B80" s="3" t="s">
        <v>136</v>
      </c>
      <c r="C80" s="3" t="s">
        <v>190</v>
      </c>
      <c r="D80" s="8">
        <v>60</v>
      </c>
      <c r="E80" s="21">
        <v>56</v>
      </c>
      <c r="F80" s="21">
        <v>64</v>
      </c>
      <c r="G80" s="15">
        <v>1240</v>
      </c>
      <c r="H80" s="15">
        <v>22199467</v>
      </c>
      <c r="I80" t="s">
        <v>150</v>
      </c>
    </row>
    <row r="81" spans="1:9" x14ac:dyDescent="0.25">
      <c r="A81" t="s">
        <v>149</v>
      </c>
      <c r="B81" s="3" t="s">
        <v>136</v>
      </c>
      <c r="C81" s="3" t="s">
        <v>162</v>
      </c>
      <c r="D81" s="8">
        <v>1</v>
      </c>
      <c r="E81" s="21">
        <v>0</v>
      </c>
      <c r="F81" s="21">
        <v>2</v>
      </c>
      <c r="G81" s="15">
        <v>1240</v>
      </c>
      <c r="H81" s="15">
        <v>22199467</v>
      </c>
      <c r="I81" t="s">
        <v>150</v>
      </c>
    </row>
    <row r="82" spans="1:9" x14ac:dyDescent="0.25">
      <c r="A82" t="s">
        <v>149</v>
      </c>
      <c r="B82" s="3" t="s">
        <v>136</v>
      </c>
      <c r="C82" s="3" t="s">
        <v>181</v>
      </c>
      <c r="D82" s="8">
        <v>5</v>
      </c>
      <c r="E82" s="21">
        <v>4</v>
      </c>
      <c r="F82" s="21">
        <v>7</v>
      </c>
      <c r="G82" s="15">
        <v>1240</v>
      </c>
      <c r="H82" s="15">
        <v>22199467</v>
      </c>
      <c r="I82" t="s">
        <v>150</v>
      </c>
    </row>
    <row r="83" spans="1:9" ht="35.4" customHeight="1" x14ac:dyDescent="0.25">
      <c r="A83" t="s">
        <v>149</v>
      </c>
      <c r="B83" s="3" t="s">
        <v>133</v>
      </c>
      <c r="C83" s="3" t="s">
        <v>184</v>
      </c>
      <c r="D83" s="8">
        <v>18</v>
      </c>
      <c r="E83" s="21">
        <v>15</v>
      </c>
      <c r="F83" s="21">
        <v>22</v>
      </c>
      <c r="G83" s="15">
        <v>1420</v>
      </c>
      <c r="H83" s="15">
        <v>21328328</v>
      </c>
      <c r="I83" t="s">
        <v>150</v>
      </c>
    </row>
    <row r="84" spans="1:9" x14ac:dyDescent="0.25">
      <c r="A84" t="s">
        <v>149</v>
      </c>
      <c r="B84" s="3" t="s">
        <v>133</v>
      </c>
      <c r="C84" s="3" t="s">
        <v>185</v>
      </c>
      <c r="D84" s="8">
        <v>30</v>
      </c>
      <c r="E84" s="21">
        <v>27</v>
      </c>
      <c r="F84" s="21">
        <v>34</v>
      </c>
      <c r="G84" s="15">
        <v>1420</v>
      </c>
      <c r="H84" s="15">
        <v>21328328</v>
      </c>
      <c r="I84" t="s">
        <v>150</v>
      </c>
    </row>
    <row r="85" spans="1:9" x14ac:dyDescent="0.25">
      <c r="A85" t="s">
        <v>149</v>
      </c>
      <c r="B85" s="3" t="s">
        <v>133</v>
      </c>
      <c r="C85" s="3" t="s">
        <v>186</v>
      </c>
      <c r="D85" s="8">
        <v>16</v>
      </c>
      <c r="E85" s="21">
        <v>14</v>
      </c>
      <c r="F85" s="21">
        <v>19</v>
      </c>
      <c r="G85" s="15">
        <v>1420</v>
      </c>
      <c r="H85" s="15">
        <v>21328328</v>
      </c>
      <c r="I85" t="s">
        <v>150</v>
      </c>
    </row>
    <row r="86" spans="1:9" x14ac:dyDescent="0.25">
      <c r="A86" t="s">
        <v>149</v>
      </c>
      <c r="B86" s="3" t="s">
        <v>133</v>
      </c>
      <c r="C86" s="3" t="s">
        <v>187</v>
      </c>
      <c r="D86" s="8">
        <v>63</v>
      </c>
      <c r="E86" s="21">
        <v>59</v>
      </c>
      <c r="F86" s="21">
        <v>67</v>
      </c>
      <c r="G86" s="15">
        <v>1420</v>
      </c>
      <c r="H86" s="15">
        <v>21328328</v>
      </c>
      <c r="I86" t="s">
        <v>150</v>
      </c>
    </row>
    <row r="87" spans="1:9" x14ac:dyDescent="0.25">
      <c r="A87" t="s">
        <v>149</v>
      </c>
      <c r="B87" s="3" t="s">
        <v>133</v>
      </c>
      <c r="C87" s="3" t="s">
        <v>188</v>
      </c>
      <c r="D87" s="8">
        <v>45</v>
      </c>
      <c r="E87" s="21">
        <v>41</v>
      </c>
      <c r="F87" s="21">
        <v>49</v>
      </c>
      <c r="G87" s="15">
        <v>1420</v>
      </c>
      <c r="H87" s="15">
        <v>21328328</v>
      </c>
      <c r="I87" t="s">
        <v>150</v>
      </c>
    </row>
    <row r="88" spans="1:9" x14ac:dyDescent="0.25">
      <c r="A88" t="s">
        <v>149</v>
      </c>
      <c r="B88" s="3" t="s">
        <v>133</v>
      </c>
      <c r="C88" s="3" t="s">
        <v>189</v>
      </c>
      <c r="D88" s="8">
        <v>33</v>
      </c>
      <c r="E88" s="21">
        <v>29</v>
      </c>
      <c r="F88" s="21">
        <v>37</v>
      </c>
      <c r="G88" s="15">
        <v>1420</v>
      </c>
      <c r="H88" s="15">
        <v>21328328</v>
      </c>
      <c r="I88" t="s">
        <v>150</v>
      </c>
    </row>
    <row r="89" spans="1:9" x14ac:dyDescent="0.25">
      <c r="A89" t="s">
        <v>149</v>
      </c>
      <c r="B89" s="3" t="s">
        <v>133</v>
      </c>
      <c r="C89" s="3" t="s">
        <v>190</v>
      </c>
      <c r="D89" s="8">
        <v>38</v>
      </c>
      <c r="E89" s="21">
        <v>34</v>
      </c>
      <c r="F89" s="21">
        <v>42</v>
      </c>
      <c r="G89" s="15">
        <v>1420</v>
      </c>
      <c r="H89" s="15">
        <v>21328328</v>
      </c>
      <c r="I89" t="s">
        <v>150</v>
      </c>
    </row>
    <row r="90" spans="1:9" x14ac:dyDescent="0.25">
      <c r="A90" t="s">
        <v>149</v>
      </c>
      <c r="B90" s="3" t="s">
        <v>133</v>
      </c>
      <c r="C90" s="3" t="s">
        <v>162</v>
      </c>
      <c r="D90" s="8">
        <v>1</v>
      </c>
      <c r="E90" s="21">
        <v>0</v>
      </c>
      <c r="F90" s="21">
        <v>1</v>
      </c>
      <c r="G90" s="15">
        <v>1420</v>
      </c>
      <c r="H90" s="15">
        <v>21328328</v>
      </c>
      <c r="I90" t="s">
        <v>150</v>
      </c>
    </row>
    <row r="91" spans="1:9" x14ac:dyDescent="0.25">
      <c r="A91" t="s">
        <v>149</v>
      </c>
      <c r="B91" s="3" t="s">
        <v>133</v>
      </c>
      <c r="C91" s="3" t="s">
        <v>181</v>
      </c>
      <c r="D91" s="8">
        <v>23</v>
      </c>
      <c r="E91" s="21">
        <v>19</v>
      </c>
      <c r="F91" s="21">
        <v>26</v>
      </c>
      <c r="G91" s="15">
        <v>1420</v>
      </c>
      <c r="H91" s="15">
        <v>21328328</v>
      </c>
      <c r="I91" t="s">
        <v>150</v>
      </c>
    </row>
    <row r="92" spans="1:9" ht="35.4" customHeight="1" x14ac:dyDescent="0.25">
      <c r="A92" t="s">
        <v>149</v>
      </c>
      <c r="B92" s="3" t="s">
        <v>138</v>
      </c>
      <c r="C92" s="3" t="s">
        <v>184</v>
      </c>
      <c r="D92" s="8">
        <v>11</v>
      </c>
      <c r="E92" s="21">
        <v>7</v>
      </c>
      <c r="F92" s="21">
        <v>14</v>
      </c>
      <c r="G92" s="15">
        <v>610</v>
      </c>
      <c r="H92" s="15">
        <v>10665098</v>
      </c>
      <c r="I92" t="s">
        <v>150</v>
      </c>
    </row>
    <row r="93" spans="1:9" x14ac:dyDescent="0.25">
      <c r="A93" t="s">
        <v>149</v>
      </c>
      <c r="B93" s="3" t="s">
        <v>138</v>
      </c>
      <c r="C93" s="3" t="s">
        <v>185</v>
      </c>
      <c r="D93" s="8">
        <v>21</v>
      </c>
      <c r="E93" s="21">
        <v>16</v>
      </c>
      <c r="F93" s="21">
        <v>26</v>
      </c>
      <c r="G93" s="15">
        <v>610</v>
      </c>
      <c r="H93" s="15">
        <v>10665098</v>
      </c>
      <c r="I93" t="s">
        <v>150</v>
      </c>
    </row>
    <row r="94" spans="1:9" x14ac:dyDescent="0.25">
      <c r="A94" t="s">
        <v>149</v>
      </c>
      <c r="B94" s="3" t="s">
        <v>138</v>
      </c>
      <c r="C94" s="3" t="s">
        <v>186</v>
      </c>
      <c r="D94" s="8">
        <v>11</v>
      </c>
      <c r="E94" s="21">
        <v>7</v>
      </c>
      <c r="F94" s="21">
        <v>15</v>
      </c>
      <c r="G94" s="15">
        <v>610</v>
      </c>
      <c r="H94" s="15">
        <v>10665098</v>
      </c>
      <c r="I94" t="s">
        <v>150</v>
      </c>
    </row>
    <row r="95" spans="1:9" x14ac:dyDescent="0.25">
      <c r="A95" t="s">
        <v>149</v>
      </c>
      <c r="B95" s="3" t="s">
        <v>138</v>
      </c>
      <c r="C95" s="3" t="s">
        <v>187</v>
      </c>
      <c r="D95" s="8">
        <v>44</v>
      </c>
      <c r="E95" s="21">
        <v>38</v>
      </c>
      <c r="F95" s="21">
        <v>50</v>
      </c>
      <c r="G95" s="15">
        <v>610</v>
      </c>
      <c r="H95" s="15">
        <v>10665098</v>
      </c>
      <c r="I95" t="s">
        <v>150</v>
      </c>
    </row>
    <row r="96" spans="1:9" x14ac:dyDescent="0.25">
      <c r="A96" t="s">
        <v>149</v>
      </c>
      <c r="B96" s="3" t="s">
        <v>138</v>
      </c>
      <c r="C96" s="3" t="s">
        <v>188</v>
      </c>
      <c r="D96" s="8">
        <v>28</v>
      </c>
      <c r="E96" s="21">
        <v>22</v>
      </c>
      <c r="F96" s="21">
        <v>34</v>
      </c>
      <c r="G96" s="15">
        <v>610</v>
      </c>
      <c r="H96" s="15">
        <v>10665098</v>
      </c>
      <c r="I96" t="s">
        <v>150</v>
      </c>
    </row>
    <row r="97" spans="1:9" x14ac:dyDescent="0.25">
      <c r="A97" t="s">
        <v>149</v>
      </c>
      <c r="B97" s="3" t="s">
        <v>138</v>
      </c>
      <c r="C97" s="3" t="s">
        <v>189</v>
      </c>
      <c r="D97" s="8">
        <v>13</v>
      </c>
      <c r="E97" s="21">
        <v>10</v>
      </c>
      <c r="F97" s="21">
        <v>17</v>
      </c>
      <c r="G97" s="15">
        <v>610</v>
      </c>
      <c r="H97" s="15">
        <v>10665098</v>
      </c>
      <c r="I97" t="s">
        <v>150</v>
      </c>
    </row>
    <row r="98" spans="1:9" x14ac:dyDescent="0.25">
      <c r="A98" t="s">
        <v>149</v>
      </c>
      <c r="B98" s="3" t="s">
        <v>138</v>
      </c>
      <c r="C98" s="3" t="s">
        <v>190</v>
      </c>
      <c r="D98" s="8">
        <v>23</v>
      </c>
      <c r="E98" s="21">
        <v>17</v>
      </c>
      <c r="F98" s="21">
        <v>28</v>
      </c>
      <c r="G98" s="15">
        <v>610</v>
      </c>
      <c r="H98" s="15">
        <v>10665098</v>
      </c>
      <c r="I98" t="s">
        <v>150</v>
      </c>
    </row>
    <row r="99" spans="1:9" x14ac:dyDescent="0.25">
      <c r="A99" t="s">
        <v>149</v>
      </c>
      <c r="B99" s="3" t="s">
        <v>138</v>
      </c>
      <c r="C99" s="3" t="s">
        <v>162</v>
      </c>
      <c r="D99" s="17" t="s">
        <v>152</v>
      </c>
      <c r="E99" s="21" t="s">
        <v>152</v>
      </c>
      <c r="F99" s="21" t="s">
        <v>152</v>
      </c>
      <c r="G99" s="15">
        <v>610</v>
      </c>
      <c r="H99" s="15">
        <v>10665098</v>
      </c>
      <c r="I99" t="s">
        <v>150</v>
      </c>
    </row>
    <row r="100" spans="1:9" x14ac:dyDescent="0.25">
      <c r="A100" t="s">
        <v>149</v>
      </c>
      <c r="B100" s="3" t="s">
        <v>138</v>
      </c>
      <c r="C100" s="3" t="s">
        <v>181</v>
      </c>
      <c r="D100" s="8">
        <v>44</v>
      </c>
      <c r="E100" s="21">
        <v>38</v>
      </c>
      <c r="F100" s="21">
        <v>50</v>
      </c>
      <c r="G100" s="15">
        <v>610</v>
      </c>
      <c r="H100" s="15">
        <v>10665098</v>
      </c>
      <c r="I100" t="s">
        <v>150</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1760-770B-45AE-B5E6-30D82CA8C36E}">
  <dimension ref="A1:BT117"/>
  <sheetViews>
    <sheetView zoomScaleNormal="100" workbookViewId="0"/>
  </sheetViews>
  <sheetFormatPr defaultColWidth="7.08984375" defaultRowHeight="15" x14ac:dyDescent="0.25"/>
  <cols>
    <col min="1" max="1" width="65.90625" style="56" customWidth="1"/>
    <col min="2" max="22" width="10.08984375" style="38" customWidth="1"/>
    <col min="23" max="16384" width="7.08984375" style="39"/>
  </cols>
  <sheetData>
    <row r="1" spans="1:72" ht="22.2" customHeight="1" x14ac:dyDescent="0.25">
      <c r="A1" s="63" t="s">
        <v>191</v>
      </c>
      <c r="B1" s="35"/>
      <c r="C1" s="36"/>
      <c r="D1" s="37"/>
      <c r="I1" s="35"/>
      <c r="J1" s="35"/>
      <c r="M1" s="37"/>
      <c r="N1" s="37"/>
    </row>
    <row r="2" spans="1:72" ht="16.8" x14ac:dyDescent="0.3">
      <c r="A2" s="40" t="s">
        <v>192</v>
      </c>
      <c r="B2" s="35"/>
      <c r="C2" s="36"/>
      <c r="D2" s="37"/>
      <c r="I2" s="35"/>
      <c r="J2" s="35"/>
      <c r="M2" s="37"/>
      <c r="N2" s="37"/>
    </row>
    <row r="3" spans="1:72" ht="16.8" x14ac:dyDescent="0.3">
      <c r="A3" s="41" t="s">
        <v>38</v>
      </c>
      <c r="B3" s="42"/>
      <c r="C3" s="36"/>
    </row>
    <row r="4" spans="1:72" ht="16.8" x14ac:dyDescent="0.3">
      <c r="A4" s="41" t="s">
        <v>119</v>
      </c>
      <c r="B4" s="42"/>
      <c r="C4" s="36"/>
    </row>
    <row r="5" spans="1:72" x14ac:dyDescent="0.25">
      <c r="A5" s="43" t="str">
        <f>HYPERLINK("#'Cover'!A1", "If shorthand is present please refer to the Suppression and shorthand section in the Cover_sheet tab")</f>
        <v>If shorthand is present please refer to the Suppression and shorthand section in the Cover_sheet tab</v>
      </c>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44"/>
      <c r="BO5" s="44"/>
      <c r="BP5" s="44"/>
      <c r="BQ5" s="44"/>
      <c r="BR5" s="44"/>
      <c r="BS5" s="44"/>
      <c r="BT5" s="44"/>
    </row>
    <row r="6" spans="1:72" x14ac:dyDescent="0.25">
      <c r="A6" s="43" t="str">
        <f>HYPERLINK("#'Contents'!A1", "Return to table of contents")</f>
        <v>Return to table of contents</v>
      </c>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44"/>
      <c r="BO6" s="44"/>
      <c r="BP6" s="44"/>
      <c r="BQ6" s="44"/>
      <c r="BR6" s="44"/>
      <c r="BS6" s="44"/>
      <c r="BT6" s="44"/>
    </row>
    <row r="7" spans="1:72" x14ac:dyDescent="0.25">
      <c r="A7" s="41" t="s">
        <v>121</v>
      </c>
      <c r="B7" s="32"/>
      <c r="C7" s="32"/>
      <c r="D7" s="32"/>
      <c r="E7" s="32"/>
      <c r="F7" s="32"/>
      <c r="G7" s="32"/>
      <c r="H7" s="32"/>
      <c r="I7" s="32"/>
      <c r="J7" s="32"/>
      <c r="K7" s="32"/>
      <c r="L7" s="32"/>
      <c r="M7" s="32"/>
      <c r="N7" s="32"/>
      <c r="O7" s="32"/>
      <c r="P7" s="32"/>
      <c r="Q7" s="32"/>
      <c r="R7" s="32"/>
      <c r="S7" s="32"/>
      <c r="T7" s="32"/>
      <c r="U7" s="32"/>
      <c r="V7" s="32"/>
    </row>
    <row r="8" spans="1:72" ht="15.6" x14ac:dyDescent="0.3">
      <c r="A8" s="45" t="s">
        <v>193</v>
      </c>
      <c r="B8" s="32"/>
      <c r="C8" s="32"/>
      <c r="D8" s="32"/>
      <c r="E8" s="32"/>
      <c r="F8" s="32"/>
      <c r="G8" s="32"/>
      <c r="H8" s="32"/>
      <c r="I8" s="32"/>
      <c r="J8" s="32"/>
      <c r="K8" s="32"/>
      <c r="L8" s="32"/>
      <c r="M8" s="32"/>
      <c r="N8" s="32"/>
      <c r="O8" s="32"/>
      <c r="P8" s="32"/>
      <c r="Q8" s="32"/>
      <c r="R8" s="32"/>
      <c r="S8" s="32"/>
      <c r="T8" s="32"/>
      <c r="U8" s="32"/>
      <c r="V8" s="32"/>
    </row>
    <row r="9" spans="1:72" s="48" customFormat="1" ht="16.350000000000001" customHeight="1" x14ac:dyDescent="0.3">
      <c r="A9" s="45" t="s">
        <v>1</v>
      </c>
      <c r="B9" s="46"/>
      <c r="C9" s="46"/>
      <c r="D9" s="46"/>
      <c r="E9" s="47"/>
      <c r="F9" s="47"/>
      <c r="G9" s="47"/>
      <c r="H9" s="47"/>
      <c r="I9" s="47"/>
      <c r="J9" s="47"/>
      <c r="K9" s="47"/>
      <c r="L9" s="47"/>
      <c r="M9" s="47"/>
      <c r="N9" s="47"/>
      <c r="O9" s="47"/>
      <c r="P9" s="47"/>
      <c r="Q9" s="47"/>
      <c r="R9" s="47"/>
      <c r="S9" s="47"/>
      <c r="T9" s="47"/>
      <c r="U9" s="47"/>
      <c r="V9" s="47"/>
      <c r="W9" s="47"/>
      <c r="X9" s="47"/>
      <c r="Y9" s="47"/>
      <c r="Z9" s="47"/>
    </row>
    <row r="10" spans="1:72" s="48" customFormat="1" ht="46.8" x14ac:dyDescent="0.3">
      <c r="A10" s="49" t="s">
        <v>194</v>
      </c>
      <c r="B10" s="50" t="s">
        <v>195</v>
      </c>
      <c r="C10" s="50" t="s">
        <v>196</v>
      </c>
      <c r="D10" s="50" t="s">
        <v>197</v>
      </c>
      <c r="E10" s="47"/>
      <c r="F10" s="47"/>
      <c r="G10" s="47"/>
      <c r="H10" s="47"/>
      <c r="I10" s="47"/>
      <c r="J10" s="47"/>
      <c r="K10" s="47"/>
      <c r="L10" s="47"/>
      <c r="M10" s="47"/>
      <c r="N10" s="47"/>
      <c r="O10" s="47"/>
      <c r="P10" s="47"/>
      <c r="Q10" s="47"/>
      <c r="R10" s="47"/>
      <c r="S10" s="47"/>
      <c r="T10" s="47"/>
      <c r="U10" s="47"/>
      <c r="V10" s="47"/>
      <c r="W10" s="47"/>
      <c r="X10" s="47"/>
      <c r="Y10" s="47"/>
      <c r="Z10" s="47"/>
    </row>
    <row r="11" spans="1:72" x14ac:dyDescent="0.25">
      <c r="A11" s="51" t="s">
        <v>91</v>
      </c>
      <c r="B11" s="52">
        <v>38</v>
      </c>
      <c r="C11" s="52">
        <v>35</v>
      </c>
      <c r="D11" s="52">
        <v>41</v>
      </c>
      <c r="E11" s="52"/>
      <c r="F11" s="52"/>
      <c r="G11" s="52"/>
      <c r="H11" s="52"/>
      <c r="I11" s="47"/>
      <c r="J11" s="47"/>
      <c r="K11" s="47"/>
      <c r="L11" s="47"/>
      <c r="M11" s="47"/>
      <c r="N11" s="47"/>
      <c r="O11" s="47"/>
      <c r="P11" s="47"/>
      <c r="Q11" s="47"/>
      <c r="R11" s="47"/>
      <c r="S11" s="47"/>
      <c r="T11" s="47"/>
      <c r="U11" s="47"/>
      <c r="V11" s="47"/>
      <c r="W11" s="47"/>
      <c r="X11" s="47"/>
      <c r="Y11" s="47"/>
      <c r="Z11" s="47"/>
    </row>
    <row r="12" spans="1:72" x14ac:dyDescent="0.25">
      <c r="A12" s="51" t="s">
        <v>93</v>
      </c>
      <c r="B12" s="52">
        <v>39</v>
      </c>
      <c r="C12" s="52">
        <v>36</v>
      </c>
      <c r="D12" s="52">
        <v>42</v>
      </c>
      <c r="E12" s="52"/>
      <c r="F12" s="52"/>
      <c r="G12" s="52"/>
      <c r="H12" s="52"/>
      <c r="I12" s="47"/>
      <c r="J12" s="47"/>
      <c r="K12" s="47"/>
      <c r="L12" s="47"/>
      <c r="M12" s="47"/>
      <c r="N12" s="47"/>
      <c r="O12" s="47"/>
      <c r="P12" s="47"/>
      <c r="Q12" s="47"/>
      <c r="R12" s="47"/>
      <c r="S12" s="47"/>
      <c r="T12" s="47"/>
      <c r="U12" s="47"/>
      <c r="V12" s="47"/>
      <c r="W12" s="47"/>
      <c r="X12" s="47"/>
      <c r="Y12" s="47"/>
      <c r="Z12" s="47"/>
    </row>
    <row r="13" spans="1:72" x14ac:dyDescent="0.25">
      <c r="A13" s="51" t="s">
        <v>94</v>
      </c>
      <c r="B13" s="52">
        <v>39</v>
      </c>
      <c r="C13" s="52">
        <v>36</v>
      </c>
      <c r="D13" s="52">
        <v>41</v>
      </c>
      <c r="E13" s="52"/>
      <c r="F13" s="52"/>
      <c r="G13" s="52"/>
      <c r="H13" s="52"/>
      <c r="I13" s="47"/>
      <c r="J13" s="47"/>
      <c r="K13" s="47"/>
      <c r="L13" s="47"/>
      <c r="M13" s="47"/>
      <c r="N13" s="47"/>
      <c r="O13" s="47"/>
      <c r="P13" s="47"/>
      <c r="Q13" s="47"/>
      <c r="R13" s="47"/>
      <c r="S13" s="47"/>
      <c r="T13" s="47"/>
      <c r="U13" s="47"/>
      <c r="V13" s="47"/>
      <c r="W13" s="47"/>
      <c r="X13" s="47"/>
      <c r="Y13" s="47"/>
      <c r="Z13" s="47"/>
    </row>
    <row r="14" spans="1:72" x14ac:dyDescent="0.25">
      <c r="A14" s="51" t="s">
        <v>96</v>
      </c>
      <c r="B14" s="52">
        <v>37</v>
      </c>
      <c r="C14" s="52">
        <v>34</v>
      </c>
      <c r="D14" s="52">
        <v>40</v>
      </c>
      <c r="E14" s="52"/>
      <c r="F14" s="52"/>
      <c r="G14" s="52"/>
      <c r="H14" s="52"/>
      <c r="I14" s="47"/>
      <c r="J14" s="47"/>
      <c r="K14" s="47"/>
      <c r="L14" s="47"/>
      <c r="M14" s="47"/>
      <c r="N14" s="47"/>
      <c r="O14" s="47"/>
      <c r="P14" s="47"/>
      <c r="Q14" s="47"/>
      <c r="R14" s="47"/>
      <c r="S14" s="47"/>
      <c r="T14" s="47"/>
      <c r="U14" s="47"/>
      <c r="V14" s="47"/>
      <c r="W14" s="47"/>
      <c r="X14" s="47"/>
      <c r="Y14" s="47"/>
      <c r="Z14" s="47"/>
    </row>
    <row r="15" spans="1:72" x14ac:dyDescent="0.25">
      <c r="A15" s="51" t="s">
        <v>98</v>
      </c>
      <c r="B15" s="52">
        <v>38</v>
      </c>
      <c r="C15" s="52">
        <v>36</v>
      </c>
      <c r="D15" s="52">
        <v>41</v>
      </c>
      <c r="E15" s="52"/>
      <c r="F15" s="52"/>
      <c r="G15" s="52"/>
      <c r="H15" s="52"/>
      <c r="I15" s="47"/>
      <c r="J15" s="47"/>
      <c r="K15" s="47"/>
      <c r="L15" s="47"/>
      <c r="M15" s="47"/>
      <c r="N15" s="47"/>
      <c r="O15" s="47"/>
      <c r="P15" s="47"/>
      <c r="Q15" s="47"/>
      <c r="R15" s="47"/>
      <c r="S15" s="47"/>
      <c r="T15" s="47"/>
      <c r="U15" s="47"/>
      <c r="V15" s="47"/>
      <c r="W15" s="47"/>
      <c r="X15" s="47"/>
      <c r="Y15" s="47"/>
      <c r="Z15" s="47"/>
    </row>
    <row r="16" spans="1:72" x14ac:dyDescent="0.25">
      <c r="A16" s="51" t="s">
        <v>100</v>
      </c>
      <c r="B16" s="52">
        <v>38</v>
      </c>
      <c r="C16" s="52">
        <v>35</v>
      </c>
      <c r="D16" s="52">
        <v>41</v>
      </c>
      <c r="E16" s="52"/>
      <c r="F16" s="52"/>
      <c r="G16" s="52"/>
      <c r="H16" s="52"/>
      <c r="I16" s="47"/>
      <c r="J16" s="47"/>
      <c r="K16" s="47"/>
      <c r="L16" s="47"/>
      <c r="M16" s="47"/>
      <c r="N16" s="47"/>
      <c r="O16" s="47"/>
      <c r="P16" s="47"/>
      <c r="Q16" s="47"/>
      <c r="R16" s="47"/>
      <c r="S16" s="47"/>
      <c r="T16" s="47"/>
      <c r="U16" s="47"/>
      <c r="V16" s="47"/>
      <c r="W16" s="47"/>
      <c r="X16" s="47"/>
      <c r="Y16" s="47"/>
      <c r="Z16" s="47"/>
    </row>
    <row r="17" spans="1:26" x14ac:dyDescent="0.25">
      <c r="A17" s="51" t="s">
        <v>102</v>
      </c>
      <c r="B17" s="53">
        <v>37</v>
      </c>
      <c r="C17" s="54">
        <v>34</v>
      </c>
      <c r="D17" s="54">
        <v>40</v>
      </c>
      <c r="E17" s="52"/>
      <c r="F17" s="52"/>
      <c r="G17" s="52"/>
      <c r="H17" s="52"/>
      <c r="I17" s="47"/>
      <c r="J17" s="47"/>
      <c r="K17" s="47"/>
      <c r="L17" s="47"/>
      <c r="M17" s="47"/>
      <c r="N17" s="47"/>
      <c r="O17" s="47"/>
      <c r="P17" s="47"/>
      <c r="Q17" s="47"/>
      <c r="R17" s="47"/>
      <c r="S17" s="47"/>
      <c r="T17" s="47"/>
      <c r="U17" s="47"/>
      <c r="V17" s="47"/>
      <c r="W17" s="47"/>
      <c r="X17" s="47"/>
      <c r="Y17" s="47"/>
      <c r="Z17" s="47"/>
    </row>
    <row r="18" spans="1:26" x14ac:dyDescent="0.25">
      <c r="A18" s="51" t="s">
        <v>103</v>
      </c>
      <c r="B18" s="53">
        <v>34</v>
      </c>
      <c r="C18" s="54">
        <v>32</v>
      </c>
      <c r="D18" s="54">
        <v>37</v>
      </c>
      <c r="E18" s="52"/>
      <c r="F18" s="52"/>
      <c r="G18" s="52"/>
      <c r="H18" s="52"/>
      <c r="I18" s="52"/>
      <c r="J18" s="52"/>
      <c r="K18" s="52"/>
      <c r="L18" s="52"/>
      <c r="M18" s="52"/>
      <c r="N18" s="52"/>
      <c r="O18" s="52"/>
      <c r="P18" s="52"/>
      <c r="Q18" s="52"/>
      <c r="R18" s="52"/>
      <c r="S18" s="52"/>
      <c r="T18" s="52"/>
      <c r="U18" s="52"/>
      <c r="V18" s="52"/>
    </row>
    <row r="19" spans="1:26" x14ac:dyDescent="0.25">
      <c r="A19" s="51" t="s">
        <v>105</v>
      </c>
      <c r="B19" s="52">
        <v>38</v>
      </c>
      <c r="C19" s="52">
        <v>35</v>
      </c>
      <c r="D19" s="52">
        <v>41</v>
      </c>
      <c r="E19" s="52"/>
      <c r="F19" s="52"/>
      <c r="G19" s="52"/>
      <c r="H19" s="52"/>
      <c r="I19" s="52"/>
      <c r="J19" s="52"/>
      <c r="K19" s="52"/>
      <c r="L19" s="52"/>
      <c r="M19" s="52"/>
      <c r="N19" s="52"/>
      <c r="O19" s="52"/>
      <c r="P19" s="52"/>
      <c r="Q19" s="52"/>
      <c r="R19" s="52"/>
      <c r="S19" s="52"/>
      <c r="T19" s="52"/>
      <c r="U19" s="52"/>
      <c r="V19" s="52"/>
    </row>
    <row r="20" spans="1:26" x14ac:dyDescent="0.25">
      <c r="A20" s="51" t="s">
        <v>106</v>
      </c>
      <c r="B20" s="52">
        <v>36</v>
      </c>
      <c r="C20" s="52">
        <v>34</v>
      </c>
      <c r="D20" s="52">
        <v>39</v>
      </c>
      <c r="E20" s="52"/>
      <c r="F20" s="52"/>
      <c r="G20" s="52"/>
      <c r="H20" s="52"/>
      <c r="I20" s="52"/>
      <c r="J20" s="52"/>
      <c r="K20" s="52"/>
      <c r="L20" s="52"/>
      <c r="M20" s="52"/>
      <c r="N20" s="52"/>
      <c r="O20" s="52"/>
      <c r="P20" s="52"/>
      <c r="Q20" s="52"/>
      <c r="R20" s="52"/>
      <c r="S20" s="52"/>
      <c r="T20" s="52"/>
      <c r="U20" s="52"/>
      <c r="V20" s="52"/>
    </row>
    <row r="21" spans="1:26" x14ac:dyDescent="0.25">
      <c r="A21" s="51" t="s">
        <v>107</v>
      </c>
      <c r="B21" s="55">
        <v>37</v>
      </c>
      <c r="C21" s="55">
        <v>33</v>
      </c>
      <c r="D21" s="55">
        <v>40</v>
      </c>
      <c r="E21" s="52"/>
      <c r="F21" s="52"/>
      <c r="G21" s="52"/>
      <c r="H21" s="52"/>
      <c r="I21" s="52"/>
      <c r="J21" s="52"/>
      <c r="K21" s="52"/>
      <c r="L21" s="52"/>
      <c r="M21" s="52"/>
      <c r="N21" s="52"/>
      <c r="O21" s="52"/>
      <c r="P21" s="52"/>
      <c r="Q21" s="52"/>
      <c r="R21" s="52"/>
      <c r="S21" s="52"/>
      <c r="T21" s="52"/>
      <c r="U21" s="52"/>
      <c r="V21" s="52"/>
    </row>
    <row r="22" spans="1:26" x14ac:dyDescent="0.25">
      <c r="A22" s="51" t="s">
        <v>109</v>
      </c>
      <c r="B22" s="55">
        <v>38</v>
      </c>
      <c r="C22" s="55">
        <v>35</v>
      </c>
      <c r="D22" s="55">
        <v>42</v>
      </c>
      <c r="E22" s="52"/>
      <c r="F22" s="52"/>
      <c r="G22" s="52"/>
      <c r="H22" s="52"/>
      <c r="I22" s="52"/>
      <c r="J22" s="52"/>
      <c r="K22" s="52"/>
      <c r="L22" s="52"/>
      <c r="M22" s="52"/>
      <c r="N22" s="52"/>
      <c r="O22" s="52"/>
      <c r="P22" s="52"/>
      <c r="Q22" s="52"/>
      <c r="R22" s="52"/>
      <c r="S22" s="52"/>
      <c r="T22" s="52"/>
      <c r="U22" s="52"/>
      <c r="V22" s="52"/>
    </row>
    <row r="23" spans="1:26" x14ac:dyDescent="0.25">
      <c r="A23" s="51" t="s">
        <v>111</v>
      </c>
      <c r="B23" s="21">
        <v>39</v>
      </c>
      <c r="C23" s="21">
        <v>36</v>
      </c>
      <c r="D23" s="21">
        <v>42</v>
      </c>
      <c r="E23" s="52"/>
      <c r="F23" s="52"/>
      <c r="G23" s="52"/>
      <c r="H23" s="52"/>
      <c r="I23" s="52"/>
      <c r="J23" s="52"/>
      <c r="K23" s="52"/>
      <c r="L23" s="52"/>
      <c r="M23" s="52"/>
      <c r="N23" s="52"/>
      <c r="O23" s="52"/>
      <c r="P23" s="52"/>
      <c r="Q23" s="52"/>
      <c r="R23" s="52"/>
      <c r="S23" s="52"/>
      <c r="T23" s="52"/>
      <c r="U23" s="52"/>
      <c r="V23" s="52"/>
    </row>
    <row r="24" spans="1:26" x14ac:dyDescent="0.25">
      <c r="A24" s="51" t="s">
        <v>113</v>
      </c>
      <c r="B24" s="8">
        <v>43</v>
      </c>
      <c r="C24" s="21">
        <v>40</v>
      </c>
      <c r="D24" s="21">
        <v>45</v>
      </c>
      <c r="E24" s="52"/>
      <c r="F24" s="52"/>
      <c r="G24" s="52"/>
      <c r="H24" s="52"/>
      <c r="I24" s="52"/>
      <c r="J24" s="52"/>
      <c r="K24" s="52"/>
      <c r="L24" s="52"/>
      <c r="M24" s="52"/>
      <c r="N24" s="52"/>
      <c r="O24" s="52"/>
      <c r="P24" s="52"/>
      <c r="Q24" s="52"/>
      <c r="R24" s="52"/>
      <c r="S24" s="52"/>
      <c r="T24" s="52"/>
      <c r="U24" s="52"/>
      <c r="V24" s="52"/>
    </row>
    <row r="25" spans="1:26" x14ac:dyDescent="0.25">
      <c r="A25" s="51" t="s">
        <v>116</v>
      </c>
      <c r="B25" s="8">
        <v>41</v>
      </c>
      <c r="C25" s="21">
        <v>38</v>
      </c>
      <c r="D25" s="21">
        <v>44</v>
      </c>
      <c r="E25" s="52"/>
      <c r="F25" s="52"/>
      <c r="G25" s="52"/>
      <c r="H25" s="52"/>
      <c r="I25" s="52"/>
      <c r="J25" s="52"/>
      <c r="K25" s="52"/>
      <c r="L25" s="52"/>
      <c r="M25" s="52"/>
      <c r="N25" s="52"/>
      <c r="O25" s="52"/>
      <c r="P25" s="52"/>
      <c r="Q25" s="52"/>
      <c r="R25" s="52"/>
      <c r="S25" s="52"/>
      <c r="T25" s="52"/>
      <c r="U25" s="52"/>
      <c r="V25" s="52"/>
    </row>
    <row r="26" spans="1:26" x14ac:dyDescent="0.25">
      <c r="A26" s="51"/>
      <c r="B26" s="52"/>
      <c r="C26" s="52"/>
      <c r="D26" s="52"/>
      <c r="E26" s="52"/>
      <c r="F26" s="52"/>
      <c r="G26" s="52"/>
      <c r="H26" s="52"/>
      <c r="I26" s="52"/>
      <c r="J26" s="52"/>
      <c r="K26" s="52"/>
      <c r="L26" s="52"/>
      <c r="M26" s="52"/>
      <c r="N26" s="52"/>
      <c r="O26" s="52"/>
      <c r="P26" s="52"/>
      <c r="Q26" s="52"/>
      <c r="R26" s="52"/>
      <c r="S26" s="52"/>
      <c r="T26" s="52"/>
      <c r="U26" s="52"/>
      <c r="V26" s="52"/>
    </row>
    <row r="27" spans="1:26" x14ac:dyDescent="0.25">
      <c r="A27" s="51"/>
      <c r="B27" s="52"/>
      <c r="C27" s="52"/>
      <c r="D27" s="52"/>
      <c r="E27" s="52"/>
      <c r="F27" s="52"/>
      <c r="G27" s="52"/>
      <c r="H27" s="52"/>
      <c r="I27" s="52"/>
      <c r="J27" s="52"/>
      <c r="K27" s="52"/>
      <c r="L27" s="52"/>
      <c r="M27" s="52"/>
      <c r="N27" s="52"/>
      <c r="O27" s="52"/>
      <c r="P27" s="52"/>
      <c r="Q27" s="52"/>
      <c r="R27" s="52"/>
      <c r="S27" s="52"/>
      <c r="T27" s="52"/>
      <c r="U27" s="52"/>
      <c r="V27" s="52"/>
    </row>
    <row r="28" spans="1:26" x14ac:dyDescent="0.25">
      <c r="A28" s="51"/>
      <c r="B28" s="52"/>
      <c r="C28" s="52"/>
      <c r="D28" s="52"/>
      <c r="E28" s="52"/>
      <c r="F28" s="52"/>
      <c r="G28" s="52"/>
      <c r="H28" s="52"/>
      <c r="I28" s="52"/>
      <c r="J28" s="52"/>
      <c r="K28" s="52"/>
      <c r="L28" s="52"/>
      <c r="M28" s="52"/>
      <c r="N28" s="52"/>
      <c r="O28" s="52"/>
      <c r="P28" s="52"/>
      <c r="Q28" s="52"/>
      <c r="R28" s="52"/>
      <c r="S28" s="52"/>
      <c r="T28" s="52"/>
      <c r="U28" s="52"/>
      <c r="V28" s="52"/>
    </row>
    <row r="29" spans="1:26" x14ac:dyDescent="0.25">
      <c r="A29" s="51"/>
      <c r="B29" s="52"/>
      <c r="C29" s="52"/>
      <c r="D29" s="52"/>
      <c r="E29" s="52"/>
      <c r="F29" s="52"/>
      <c r="G29" s="52"/>
      <c r="H29" s="52"/>
      <c r="I29" s="52"/>
      <c r="J29" s="52"/>
      <c r="K29" s="52"/>
      <c r="L29" s="52"/>
      <c r="M29" s="52"/>
      <c r="N29" s="52"/>
      <c r="O29" s="52"/>
      <c r="P29" s="52"/>
      <c r="Q29" s="52"/>
      <c r="R29" s="52"/>
      <c r="S29" s="52"/>
      <c r="T29" s="52"/>
      <c r="U29" s="52"/>
      <c r="V29" s="52"/>
    </row>
    <row r="30" spans="1:26" x14ac:dyDescent="0.25">
      <c r="A30" s="51"/>
      <c r="B30" s="52"/>
      <c r="C30" s="52"/>
      <c r="D30" s="52"/>
      <c r="E30" s="52"/>
      <c r="F30" s="52"/>
      <c r="G30" s="52"/>
      <c r="H30" s="52"/>
      <c r="I30" s="52"/>
      <c r="J30" s="52"/>
      <c r="K30" s="52"/>
      <c r="L30" s="52"/>
      <c r="M30" s="52"/>
      <c r="N30" s="52"/>
      <c r="O30" s="52"/>
      <c r="P30" s="52"/>
      <c r="Q30" s="52"/>
      <c r="R30" s="52"/>
      <c r="S30" s="52"/>
      <c r="T30" s="52"/>
      <c r="U30" s="52"/>
      <c r="V30" s="52"/>
    </row>
    <row r="31" spans="1:26" x14ac:dyDescent="0.25">
      <c r="A31" s="51"/>
      <c r="B31" s="52"/>
      <c r="C31" s="52"/>
      <c r="D31" s="52"/>
      <c r="E31" s="52"/>
      <c r="F31" s="52"/>
      <c r="G31" s="52"/>
      <c r="H31" s="52"/>
      <c r="I31" s="52"/>
      <c r="J31" s="52"/>
      <c r="K31" s="52"/>
      <c r="L31" s="52"/>
      <c r="M31" s="52"/>
      <c r="N31" s="52"/>
      <c r="O31" s="52"/>
      <c r="P31" s="52"/>
      <c r="Q31" s="52"/>
      <c r="R31" s="52"/>
      <c r="S31" s="52"/>
      <c r="T31" s="52"/>
      <c r="U31" s="52"/>
      <c r="V31" s="52"/>
    </row>
    <row r="32" spans="1:26" x14ac:dyDescent="0.25">
      <c r="A32" s="51"/>
      <c r="B32" s="52"/>
      <c r="C32" s="52"/>
      <c r="D32" s="52"/>
      <c r="E32" s="52"/>
      <c r="F32" s="52"/>
      <c r="G32" s="52"/>
      <c r="H32" s="52"/>
      <c r="I32" s="52"/>
      <c r="J32" s="52"/>
      <c r="K32" s="52"/>
      <c r="L32" s="52"/>
      <c r="M32" s="52"/>
      <c r="N32" s="52"/>
      <c r="O32" s="52"/>
      <c r="P32" s="52"/>
      <c r="Q32" s="52"/>
      <c r="R32" s="52"/>
      <c r="S32" s="52"/>
      <c r="T32" s="52"/>
      <c r="U32" s="52"/>
      <c r="V32" s="52"/>
    </row>
    <row r="33" spans="1:22" x14ac:dyDescent="0.25">
      <c r="A33" s="51"/>
      <c r="B33" s="52"/>
      <c r="C33" s="52"/>
      <c r="D33" s="52"/>
      <c r="E33" s="52"/>
      <c r="F33" s="52"/>
      <c r="G33" s="52"/>
      <c r="H33" s="52"/>
      <c r="I33" s="52"/>
      <c r="J33" s="52"/>
      <c r="K33" s="52"/>
      <c r="L33" s="52"/>
      <c r="M33" s="52"/>
      <c r="N33" s="52"/>
      <c r="O33" s="52"/>
      <c r="P33" s="52"/>
      <c r="Q33" s="52"/>
      <c r="R33" s="52"/>
      <c r="S33" s="52"/>
      <c r="T33" s="52"/>
      <c r="U33" s="52"/>
      <c r="V33" s="52"/>
    </row>
    <row r="34" spans="1:22" x14ac:dyDescent="0.25">
      <c r="A34" s="51"/>
      <c r="B34" s="52"/>
      <c r="C34" s="52"/>
      <c r="D34" s="52"/>
      <c r="E34" s="52"/>
      <c r="F34" s="52"/>
      <c r="G34" s="52"/>
      <c r="H34" s="52"/>
      <c r="I34" s="52"/>
      <c r="J34" s="52"/>
      <c r="K34" s="52"/>
      <c r="L34" s="52"/>
      <c r="M34" s="52"/>
      <c r="N34" s="52"/>
      <c r="O34" s="52"/>
      <c r="P34" s="52"/>
      <c r="Q34" s="52"/>
      <c r="R34" s="52"/>
      <c r="S34" s="52"/>
      <c r="T34" s="52"/>
      <c r="U34" s="52"/>
      <c r="V34" s="52"/>
    </row>
    <row r="35" spans="1:22" x14ac:dyDescent="0.25">
      <c r="A35" s="51"/>
      <c r="B35" s="52"/>
      <c r="C35" s="52"/>
      <c r="D35" s="52"/>
      <c r="E35" s="52"/>
      <c r="F35" s="52"/>
      <c r="G35" s="52"/>
      <c r="H35" s="52"/>
      <c r="I35" s="52"/>
      <c r="J35" s="52"/>
      <c r="K35" s="52"/>
      <c r="L35" s="52"/>
      <c r="M35" s="52"/>
      <c r="N35" s="52"/>
      <c r="O35" s="52"/>
      <c r="P35" s="52"/>
      <c r="Q35" s="52"/>
      <c r="R35" s="52"/>
      <c r="S35" s="52"/>
      <c r="T35" s="52"/>
      <c r="U35" s="52"/>
      <c r="V35" s="52"/>
    </row>
    <row r="36" spans="1:22" x14ac:dyDescent="0.25">
      <c r="A36" s="51"/>
      <c r="B36" s="52"/>
      <c r="C36" s="52"/>
      <c r="D36" s="52"/>
      <c r="E36" s="52"/>
      <c r="F36" s="52"/>
      <c r="G36" s="52"/>
      <c r="H36" s="52"/>
      <c r="I36" s="52"/>
      <c r="J36" s="52"/>
      <c r="K36" s="52"/>
      <c r="L36" s="52"/>
      <c r="M36" s="52"/>
      <c r="N36" s="52"/>
      <c r="O36" s="52"/>
      <c r="P36" s="52"/>
      <c r="Q36" s="52"/>
      <c r="R36" s="52"/>
      <c r="S36" s="52"/>
      <c r="T36" s="52"/>
      <c r="U36" s="52"/>
      <c r="V36" s="52"/>
    </row>
    <row r="37" spans="1:22" x14ac:dyDescent="0.25">
      <c r="A37" s="51"/>
      <c r="B37" s="52"/>
      <c r="C37" s="52"/>
      <c r="D37" s="52"/>
      <c r="E37" s="52"/>
      <c r="F37" s="52"/>
      <c r="G37" s="52"/>
      <c r="H37" s="52"/>
      <c r="I37" s="52"/>
      <c r="J37" s="52"/>
      <c r="K37" s="52"/>
      <c r="L37" s="52"/>
      <c r="M37" s="52"/>
      <c r="N37" s="52"/>
      <c r="O37" s="52"/>
      <c r="P37" s="52"/>
      <c r="Q37" s="52"/>
      <c r="R37" s="52"/>
      <c r="S37" s="52"/>
      <c r="T37" s="52"/>
      <c r="U37" s="52"/>
      <c r="V37" s="52"/>
    </row>
    <row r="38" spans="1:22" x14ac:dyDescent="0.25">
      <c r="A38" s="51"/>
      <c r="B38" s="52"/>
      <c r="C38" s="52"/>
      <c r="D38" s="52"/>
      <c r="E38" s="52"/>
      <c r="F38" s="52"/>
      <c r="G38" s="52"/>
      <c r="H38" s="52"/>
      <c r="I38" s="52"/>
      <c r="J38" s="52"/>
      <c r="K38" s="52"/>
      <c r="L38" s="52"/>
      <c r="M38" s="52"/>
      <c r="N38" s="52"/>
      <c r="O38" s="52"/>
      <c r="P38" s="52"/>
      <c r="Q38" s="52"/>
      <c r="R38" s="52"/>
      <c r="S38" s="52"/>
      <c r="T38" s="52"/>
      <c r="U38" s="52"/>
      <c r="V38" s="52"/>
    </row>
    <row r="39" spans="1:22" x14ac:dyDescent="0.25">
      <c r="A39" s="51"/>
      <c r="B39" s="52"/>
      <c r="C39" s="52"/>
      <c r="D39" s="52"/>
      <c r="E39" s="52"/>
      <c r="F39" s="52"/>
      <c r="G39" s="52"/>
      <c r="H39" s="52"/>
      <c r="I39" s="52"/>
      <c r="J39" s="52"/>
      <c r="K39" s="52"/>
      <c r="L39" s="52"/>
      <c r="M39" s="52"/>
      <c r="N39" s="52"/>
      <c r="O39" s="52"/>
      <c r="P39" s="52"/>
      <c r="Q39" s="52"/>
      <c r="R39" s="52"/>
      <c r="S39" s="52"/>
      <c r="T39" s="52"/>
      <c r="U39" s="52"/>
      <c r="V39" s="52"/>
    </row>
    <row r="40" spans="1:22" x14ac:dyDescent="0.25">
      <c r="A40" s="51"/>
      <c r="B40" s="52"/>
      <c r="C40" s="52"/>
      <c r="D40" s="52"/>
      <c r="E40" s="52"/>
      <c r="F40" s="52"/>
      <c r="G40" s="52"/>
      <c r="H40" s="52"/>
      <c r="I40" s="52"/>
      <c r="J40" s="52"/>
      <c r="K40" s="52"/>
      <c r="L40" s="52"/>
      <c r="M40" s="52"/>
      <c r="N40" s="52"/>
      <c r="O40" s="52"/>
      <c r="P40" s="52"/>
      <c r="Q40" s="52"/>
      <c r="R40" s="52"/>
      <c r="S40" s="52"/>
      <c r="T40" s="52"/>
      <c r="U40" s="52"/>
      <c r="V40" s="52"/>
    </row>
    <row r="41" spans="1:22" x14ac:dyDescent="0.25">
      <c r="A41" s="51"/>
      <c r="B41" s="52"/>
      <c r="C41" s="52"/>
      <c r="D41" s="52"/>
      <c r="E41" s="52"/>
      <c r="F41" s="52"/>
      <c r="G41" s="52"/>
      <c r="H41" s="52"/>
      <c r="I41" s="52"/>
      <c r="J41" s="52"/>
      <c r="K41" s="52"/>
      <c r="L41" s="52"/>
      <c r="M41" s="52"/>
      <c r="N41" s="52"/>
      <c r="O41" s="52"/>
      <c r="P41" s="52"/>
      <c r="Q41" s="52"/>
      <c r="R41" s="52"/>
      <c r="S41" s="52"/>
      <c r="T41" s="52"/>
      <c r="U41" s="52"/>
      <c r="V41" s="52"/>
    </row>
    <row r="42" spans="1:22" x14ac:dyDescent="0.25">
      <c r="A42" s="51"/>
      <c r="B42" s="52"/>
      <c r="C42" s="52"/>
      <c r="D42" s="52"/>
      <c r="E42" s="52"/>
      <c r="F42" s="52"/>
      <c r="G42" s="52"/>
      <c r="H42" s="52"/>
      <c r="I42" s="52"/>
      <c r="J42" s="52"/>
      <c r="K42" s="52"/>
      <c r="L42" s="52"/>
      <c r="M42" s="52"/>
      <c r="N42" s="52"/>
      <c r="O42" s="52"/>
      <c r="P42" s="52"/>
      <c r="Q42" s="52"/>
      <c r="R42" s="52"/>
      <c r="S42" s="52"/>
      <c r="T42" s="52"/>
      <c r="U42" s="52"/>
      <c r="V42" s="52"/>
    </row>
    <row r="43" spans="1:22" x14ac:dyDescent="0.25">
      <c r="A43" s="51"/>
      <c r="B43" s="52"/>
      <c r="C43" s="52"/>
      <c r="D43" s="52"/>
      <c r="E43" s="52"/>
      <c r="F43" s="52"/>
      <c r="G43" s="52"/>
      <c r="H43" s="52"/>
      <c r="I43" s="52"/>
      <c r="J43" s="52"/>
      <c r="K43" s="52"/>
      <c r="L43" s="52"/>
      <c r="M43" s="52"/>
      <c r="N43" s="52"/>
      <c r="O43" s="52"/>
      <c r="P43" s="52"/>
      <c r="Q43" s="52"/>
      <c r="R43" s="52"/>
      <c r="S43" s="52"/>
      <c r="T43" s="52"/>
      <c r="U43" s="52"/>
      <c r="V43" s="52"/>
    </row>
    <row r="44" spans="1:22" x14ac:dyDescent="0.25">
      <c r="A44" s="51"/>
      <c r="B44" s="52"/>
      <c r="C44" s="52"/>
      <c r="D44" s="52"/>
      <c r="E44" s="52"/>
      <c r="F44" s="52"/>
      <c r="G44" s="52"/>
      <c r="H44" s="52"/>
      <c r="I44" s="52"/>
      <c r="J44" s="52"/>
      <c r="K44" s="52"/>
      <c r="L44" s="52"/>
      <c r="M44" s="52"/>
      <c r="N44" s="52"/>
      <c r="O44" s="52"/>
      <c r="P44" s="52"/>
      <c r="Q44" s="52"/>
      <c r="R44" s="52"/>
      <c r="S44" s="52"/>
      <c r="T44" s="52"/>
      <c r="U44" s="52"/>
      <c r="V44" s="52"/>
    </row>
    <row r="45" spans="1:22" x14ac:dyDescent="0.25">
      <c r="A45" s="51"/>
      <c r="B45" s="52"/>
      <c r="C45" s="52"/>
      <c r="D45" s="52"/>
      <c r="E45" s="52"/>
      <c r="F45" s="52"/>
      <c r="G45" s="52"/>
      <c r="H45" s="52"/>
      <c r="I45" s="52"/>
      <c r="J45" s="52"/>
      <c r="K45" s="52"/>
      <c r="L45" s="52"/>
      <c r="M45" s="52"/>
      <c r="N45" s="52"/>
      <c r="O45" s="52"/>
      <c r="P45" s="52"/>
      <c r="Q45" s="52"/>
      <c r="R45" s="52"/>
      <c r="S45" s="52"/>
      <c r="T45" s="52"/>
      <c r="U45" s="52"/>
      <c r="V45" s="52"/>
    </row>
    <row r="46" spans="1:22" x14ac:dyDescent="0.25">
      <c r="A46" s="51"/>
      <c r="B46" s="52"/>
      <c r="C46" s="52"/>
      <c r="D46" s="52"/>
      <c r="E46" s="52"/>
      <c r="F46" s="52"/>
      <c r="G46" s="52"/>
      <c r="H46" s="52"/>
      <c r="I46" s="52"/>
      <c r="J46" s="52"/>
      <c r="K46" s="52"/>
      <c r="L46" s="52"/>
      <c r="M46" s="52"/>
      <c r="N46" s="52"/>
      <c r="O46" s="52"/>
      <c r="P46" s="52"/>
      <c r="Q46" s="52"/>
      <c r="R46" s="52"/>
      <c r="S46" s="52"/>
      <c r="T46" s="52"/>
      <c r="U46" s="52"/>
      <c r="V46" s="52"/>
    </row>
    <row r="47" spans="1:22" x14ac:dyDescent="0.25">
      <c r="A47" s="51"/>
      <c r="B47" s="52"/>
      <c r="C47" s="52"/>
      <c r="D47" s="52"/>
      <c r="E47" s="52"/>
      <c r="F47" s="52"/>
      <c r="G47" s="52"/>
      <c r="H47" s="52"/>
      <c r="I47" s="52"/>
      <c r="J47" s="52"/>
      <c r="K47" s="52"/>
      <c r="L47" s="52"/>
      <c r="M47" s="52"/>
      <c r="N47" s="52"/>
      <c r="O47" s="52"/>
      <c r="P47" s="52"/>
      <c r="Q47" s="52"/>
      <c r="R47" s="52"/>
      <c r="S47" s="52"/>
      <c r="T47" s="52"/>
      <c r="U47" s="52"/>
      <c r="V47" s="52"/>
    </row>
    <row r="48" spans="1:22" x14ac:dyDescent="0.25">
      <c r="A48" s="51"/>
      <c r="B48" s="52"/>
      <c r="C48" s="52"/>
      <c r="D48" s="52"/>
      <c r="E48" s="52"/>
      <c r="F48" s="52"/>
      <c r="G48" s="52"/>
      <c r="H48" s="52"/>
      <c r="I48" s="52"/>
      <c r="J48" s="52"/>
      <c r="K48" s="52"/>
      <c r="L48" s="52"/>
      <c r="M48" s="52"/>
      <c r="N48" s="52"/>
      <c r="O48" s="52"/>
      <c r="P48" s="52"/>
      <c r="Q48" s="52"/>
      <c r="R48" s="52"/>
      <c r="S48" s="52"/>
      <c r="T48" s="52"/>
      <c r="U48" s="52"/>
      <c r="V48" s="52"/>
    </row>
    <row r="49" spans="1:22" x14ac:dyDescent="0.25">
      <c r="A49" s="51"/>
      <c r="B49" s="52"/>
      <c r="C49" s="52"/>
      <c r="D49" s="52"/>
      <c r="E49" s="52"/>
      <c r="F49" s="52"/>
      <c r="G49" s="52"/>
      <c r="H49" s="52"/>
      <c r="I49" s="52"/>
      <c r="J49" s="52"/>
      <c r="K49" s="52"/>
      <c r="L49" s="52"/>
      <c r="M49" s="52"/>
      <c r="N49" s="52"/>
      <c r="O49" s="52"/>
      <c r="P49" s="52"/>
      <c r="Q49" s="52"/>
      <c r="R49" s="52"/>
      <c r="S49" s="52"/>
      <c r="T49" s="52"/>
      <c r="U49" s="52"/>
      <c r="V49" s="52"/>
    </row>
    <row r="50" spans="1:22" x14ac:dyDescent="0.25">
      <c r="A50" s="51"/>
      <c r="B50" s="52"/>
      <c r="C50" s="52"/>
      <c r="D50" s="52"/>
      <c r="E50" s="52"/>
      <c r="F50" s="52"/>
      <c r="G50" s="52"/>
      <c r="H50" s="52"/>
      <c r="I50" s="37"/>
      <c r="J50" s="37"/>
      <c r="K50" s="37"/>
      <c r="L50" s="37"/>
      <c r="M50" s="37"/>
      <c r="N50" s="37"/>
      <c r="O50" s="37"/>
      <c r="P50" s="37"/>
      <c r="Q50" s="37"/>
      <c r="R50" s="37"/>
      <c r="S50" s="37"/>
      <c r="T50" s="37"/>
      <c r="U50" s="37"/>
      <c r="V50" s="37"/>
    </row>
    <row r="51" spans="1:22" x14ac:dyDescent="0.25">
      <c r="A51" s="51"/>
      <c r="B51" s="37"/>
      <c r="C51" s="37"/>
      <c r="D51" s="37"/>
      <c r="E51" s="37"/>
      <c r="F51" s="37"/>
      <c r="G51" s="37"/>
      <c r="H51" s="37"/>
      <c r="I51" s="37"/>
      <c r="J51" s="37"/>
      <c r="K51" s="37"/>
      <c r="L51" s="37"/>
      <c r="M51" s="37"/>
      <c r="N51" s="37"/>
      <c r="O51" s="37"/>
      <c r="P51" s="37"/>
      <c r="Q51" s="37"/>
      <c r="R51" s="37"/>
      <c r="S51" s="37"/>
      <c r="T51" s="37"/>
      <c r="U51" s="37"/>
      <c r="V51" s="37"/>
    </row>
    <row r="52" spans="1:22" x14ac:dyDescent="0.25">
      <c r="A52" s="51"/>
      <c r="B52" s="37"/>
      <c r="C52" s="37"/>
      <c r="D52" s="37"/>
      <c r="E52" s="37"/>
      <c r="F52" s="37"/>
      <c r="G52" s="37"/>
      <c r="H52" s="37"/>
      <c r="I52" s="37"/>
      <c r="J52" s="37"/>
      <c r="K52" s="37"/>
      <c r="L52" s="37"/>
      <c r="M52" s="37"/>
      <c r="N52" s="37"/>
      <c r="O52" s="37"/>
      <c r="P52" s="37"/>
      <c r="Q52" s="37"/>
      <c r="R52" s="37"/>
      <c r="S52" s="37"/>
      <c r="T52" s="37"/>
      <c r="U52" s="37"/>
      <c r="V52" s="37"/>
    </row>
    <row r="53" spans="1:22" x14ac:dyDescent="0.25">
      <c r="A53" s="51"/>
      <c r="B53" s="37"/>
      <c r="C53" s="37"/>
      <c r="D53" s="37"/>
      <c r="E53" s="37"/>
      <c r="F53" s="37"/>
      <c r="G53" s="37"/>
      <c r="H53" s="37"/>
      <c r="I53" s="37"/>
      <c r="J53" s="37"/>
      <c r="K53" s="37"/>
      <c r="L53" s="37"/>
      <c r="M53" s="37"/>
      <c r="N53" s="37"/>
      <c r="O53" s="37"/>
      <c r="P53" s="37"/>
      <c r="Q53" s="37"/>
      <c r="R53" s="37"/>
      <c r="S53" s="37"/>
      <c r="T53" s="37"/>
      <c r="U53" s="37"/>
      <c r="V53" s="37"/>
    </row>
    <row r="54" spans="1:22" ht="15" customHeight="1" x14ac:dyDescent="0.25">
      <c r="B54" s="37"/>
      <c r="C54" s="37"/>
      <c r="D54" s="37"/>
      <c r="E54" s="37"/>
      <c r="F54" s="37"/>
      <c r="G54" s="37"/>
      <c r="H54" s="37"/>
      <c r="I54" s="37"/>
      <c r="J54" s="37"/>
      <c r="K54" s="37"/>
      <c r="L54" s="37"/>
      <c r="M54" s="37"/>
      <c r="N54" s="37"/>
      <c r="O54" s="37"/>
      <c r="P54" s="37"/>
      <c r="Q54" s="37"/>
      <c r="R54" s="37"/>
      <c r="S54" s="37"/>
      <c r="T54" s="37"/>
      <c r="U54" s="37"/>
      <c r="V54" s="37"/>
    </row>
    <row r="55" spans="1:22" ht="15" customHeight="1" x14ac:dyDescent="0.25">
      <c r="B55" s="37"/>
      <c r="C55" s="37"/>
      <c r="D55" s="37"/>
      <c r="E55" s="37"/>
      <c r="F55" s="37"/>
      <c r="G55" s="37"/>
      <c r="H55" s="37"/>
      <c r="I55" s="37"/>
      <c r="J55" s="37"/>
      <c r="K55" s="37"/>
      <c r="L55" s="37"/>
      <c r="M55" s="37"/>
      <c r="N55" s="37"/>
      <c r="O55" s="37"/>
      <c r="P55" s="37"/>
      <c r="Q55" s="37"/>
      <c r="R55" s="37"/>
      <c r="S55" s="37"/>
      <c r="T55" s="37"/>
      <c r="U55" s="37"/>
      <c r="V55" s="37"/>
    </row>
    <row r="56" spans="1:22" x14ac:dyDescent="0.25">
      <c r="B56" s="37"/>
      <c r="C56" s="37"/>
      <c r="D56" s="37"/>
      <c r="E56" s="37"/>
      <c r="F56" s="37"/>
      <c r="G56" s="37"/>
      <c r="H56" s="37"/>
      <c r="I56" s="37"/>
      <c r="J56" s="37"/>
      <c r="K56" s="37"/>
      <c r="L56" s="37"/>
      <c r="M56" s="37"/>
      <c r="N56" s="37"/>
      <c r="O56" s="37"/>
      <c r="P56" s="37"/>
      <c r="Q56" s="37"/>
      <c r="R56" s="37"/>
      <c r="S56" s="37"/>
      <c r="T56" s="37"/>
      <c r="U56" s="37"/>
      <c r="V56" s="37"/>
    </row>
    <row r="57" spans="1:22" ht="15" customHeight="1" x14ac:dyDescent="0.25">
      <c r="B57" s="37"/>
      <c r="C57" s="37"/>
      <c r="D57" s="37"/>
      <c r="E57" s="37"/>
      <c r="F57" s="37"/>
      <c r="G57" s="37"/>
      <c r="H57" s="37"/>
      <c r="I57" s="37"/>
      <c r="J57" s="37"/>
      <c r="K57" s="37"/>
      <c r="L57" s="37"/>
      <c r="M57" s="37"/>
      <c r="N57" s="37"/>
      <c r="O57" s="37"/>
      <c r="P57" s="37"/>
      <c r="Q57" s="37"/>
      <c r="R57" s="37"/>
      <c r="S57" s="37"/>
      <c r="T57" s="37"/>
      <c r="U57" s="37"/>
      <c r="V57" s="37"/>
    </row>
    <row r="58" spans="1:22" ht="15" customHeight="1" x14ac:dyDescent="0.25">
      <c r="B58" s="37"/>
      <c r="C58" s="37"/>
      <c r="D58" s="37"/>
      <c r="E58" s="37"/>
      <c r="F58" s="37"/>
      <c r="G58" s="37"/>
      <c r="H58" s="37"/>
      <c r="I58" s="37"/>
      <c r="J58" s="37"/>
      <c r="K58" s="37"/>
      <c r="L58" s="37"/>
      <c r="M58" s="37"/>
      <c r="N58" s="37"/>
      <c r="O58" s="37"/>
      <c r="P58" s="37"/>
      <c r="Q58" s="37"/>
      <c r="R58" s="37"/>
      <c r="S58" s="37"/>
      <c r="T58" s="37"/>
      <c r="U58" s="37"/>
      <c r="V58" s="37"/>
    </row>
    <row r="59" spans="1:22" ht="15" customHeight="1" x14ac:dyDescent="0.25">
      <c r="B59" s="37"/>
      <c r="C59" s="37"/>
      <c r="D59" s="37"/>
      <c r="E59" s="37"/>
      <c r="F59" s="37"/>
      <c r="G59" s="37"/>
      <c r="H59" s="37"/>
      <c r="I59" s="37"/>
      <c r="J59" s="37"/>
      <c r="K59" s="37"/>
      <c r="L59" s="37"/>
      <c r="M59" s="37"/>
      <c r="N59" s="37"/>
      <c r="O59" s="37"/>
      <c r="P59" s="37"/>
      <c r="Q59" s="37"/>
      <c r="R59" s="37"/>
      <c r="S59" s="37"/>
      <c r="T59" s="37"/>
      <c r="U59" s="37"/>
      <c r="V59" s="37"/>
    </row>
    <row r="60" spans="1:22" ht="15" customHeight="1" x14ac:dyDescent="0.25">
      <c r="B60" s="37"/>
      <c r="C60" s="37"/>
      <c r="D60" s="37"/>
      <c r="E60" s="37"/>
      <c r="F60" s="37"/>
      <c r="G60" s="37"/>
      <c r="H60" s="37"/>
      <c r="I60" s="52"/>
      <c r="J60" s="52"/>
      <c r="K60" s="52"/>
      <c r="L60" s="52"/>
      <c r="M60" s="52"/>
      <c r="N60" s="52"/>
      <c r="O60" s="52"/>
      <c r="P60" s="52"/>
      <c r="Q60" s="52"/>
      <c r="R60" s="52"/>
      <c r="S60" s="52"/>
      <c r="T60" s="52"/>
      <c r="U60" s="52"/>
      <c r="V60" s="52"/>
    </row>
    <row r="61" spans="1:22" ht="15" customHeight="1" x14ac:dyDescent="0.25">
      <c r="B61" s="52"/>
      <c r="C61" s="52"/>
      <c r="D61" s="52"/>
      <c r="E61" s="52"/>
      <c r="F61" s="52"/>
      <c r="G61" s="52"/>
      <c r="H61" s="52"/>
      <c r="I61" s="52"/>
      <c r="J61" s="52"/>
      <c r="K61" s="52"/>
      <c r="L61" s="52"/>
      <c r="M61" s="52"/>
      <c r="N61" s="52"/>
      <c r="O61" s="52"/>
      <c r="P61" s="52"/>
      <c r="Q61" s="52"/>
      <c r="R61" s="52"/>
      <c r="S61" s="52"/>
      <c r="T61" s="52"/>
      <c r="U61" s="52"/>
      <c r="V61" s="52"/>
    </row>
    <row r="62" spans="1:22" ht="15" customHeight="1" x14ac:dyDescent="0.25">
      <c r="A62" s="51"/>
      <c r="B62" s="52"/>
      <c r="C62" s="52"/>
      <c r="D62" s="52"/>
      <c r="E62" s="52"/>
      <c r="F62" s="52"/>
      <c r="G62" s="52"/>
      <c r="H62" s="52"/>
      <c r="I62" s="52"/>
      <c r="J62" s="52"/>
      <c r="K62" s="52"/>
      <c r="L62" s="52"/>
      <c r="M62" s="52"/>
      <c r="N62" s="52"/>
      <c r="O62" s="52"/>
      <c r="P62" s="52"/>
      <c r="Q62" s="52"/>
      <c r="R62" s="52"/>
      <c r="S62" s="52"/>
      <c r="T62" s="52"/>
      <c r="U62" s="52"/>
      <c r="V62" s="52"/>
    </row>
    <row r="63" spans="1:22" ht="15" customHeight="1" x14ac:dyDescent="0.25">
      <c r="B63" s="52"/>
      <c r="C63" s="52"/>
      <c r="D63" s="52"/>
      <c r="E63" s="52"/>
      <c r="F63" s="52"/>
      <c r="G63" s="52"/>
      <c r="H63" s="52"/>
      <c r="I63" s="52"/>
      <c r="J63" s="52"/>
      <c r="K63" s="52"/>
      <c r="L63" s="52"/>
      <c r="M63" s="52"/>
      <c r="N63" s="52"/>
      <c r="O63" s="52"/>
      <c r="P63" s="52"/>
      <c r="Q63" s="52"/>
      <c r="R63" s="52"/>
      <c r="S63" s="52"/>
      <c r="T63" s="52"/>
      <c r="U63" s="52"/>
      <c r="V63" s="52"/>
    </row>
    <row r="64" spans="1:22" ht="15" customHeight="1" x14ac:dyDescent="0.25">
      <c r="B64" s="52"/>
      <c r="C64" s="52"/>
      <c r="D64" s="52"/>
      <c r="E64" s="52"/>
      <c r="F64" s="52"/>
      <c r="G64" s="52"/>
      <c r="H64" s="52"/>
      <c r="I64" s="52"/>
      <c r="J64" s="52"/>
      <c r="K64" s="52"/>
      <c r="L64" s="52"/>
      <c r="M64" s="52"/>
      <c r="N64" s="52"/>
      <c r="O64" s="52"/>
      <c r="P64" s="52"/>
      <c r="Q64" s="52"/>
      <c r="R64" s="52"/>
      <c r="S64" s="52"/>
      <c r="T64" s="52"/>
      <c r="U64" s="52"/>
      <c r="V64" s="52"/>
    </row>
    <row r="65" spans="1:22" ht="15" customHeight="1" x14ac:dyDescent="0.25">
      <c r="A65" s="51"/>
      <c r="B65" s="52"/>
      <c r="C65" s="52"/>
      <c r="D65" s="52"/>
      <c r="E65" s="52"/>
      <c r="F65" s="52"/>
      <c r="G65" s="52"/>
      <c r="H65" s="52"/>
      <c r="I65" s="52"/>
      <c r="J65" s="52"/>
      <c r="K65" s="52"/>
      <c r="L65" s="52"/>
      <c r="M65" s="52"/>
      <c r="N65" s="52"/>
      <c r="O65" s="52"/>
      <c r="P65" s="52"/>
      <c r="Q65" s="52"/>
      <c r="R65" s="52"/>
      <c r="S65" s="52"/>
      <c r="T65" s="52"/>
      <c r="U65" s="52"/>
      <c r="V65" s="52"/>
    </row>
    <row r="66" spans="1:22" ht="15" customHeight="1" x14ac:dyDescent="0.25">
      <c r="B66" s="52"/>
      <c r="C66" s="52"/>
      <c r="D66" s="52"/>
      <c r="E66" s="52"/>
      <c r="F66" s="52"/>
      <c r="G66" s="52"/>
      <c r="H66" s="52"/>
      <c r="I66" s="52"/>
      <c r="J66" s="52"/>
      <c r="K66" s="52"/>
      <c r="L66" s="52"/>
      <c r="M66" s="52"/>
      <c r="N66" s="52"/>
      <c r="O66" s="52"/>
      <c r="P66" s="52"/>
      <c r="Q66" s="52"/>
      <c r="R66" s="52"/>
      <c r="S66" s="52"/>
      <c r="T66" s="52"/>
      <c r="U66" s="52"/>
      <c r="V66" s="52"/>
    </row>
    <row r="67" spans="1:22" ht="15" customHeight="1" x14ac:dyDescent="0.25">
      <c r="A67" s="57"/>
      <c r="B67" s="52"/>
      <c r="C67" s="52"/>
      <c r="D67" s="52"/>
      <c r="E67" s="52"/>
      <c r="F67" s="52"/>
      <c r="G67" s="52"/>
      <c r="H67" s="52"/>
      <c r="I67" s="52"/>
      <c r="J67" s="52"/>
      <c r="K67" s="52"/>
      <c r="L67" s="52"/>
      <c r="M67" s="52"/>
      <c r="N67" s="52"/>
      <c r="O67" s="52"/>
      <c r="P67" s="52"/>
      <c r="Q67" s="52"/>
      <c r="R67" s="52"/>
      <c r="S67" s="52"/>
      <c r="T67" s="52"/>
      <c r="U67" s="52"/>
      <c r="V67" s="52"/>
    </row>
    <row r="68" spans="1:22" ht="15" customHeight="1" x14ac:dyDescent="0.25">
      <c r="B68" s="52"/>
      <c r="C68" s="52"/>
      <c r="D68" s="52"/>
      <c r="E68" s="52"/>
      <c r="F68" s="52"/>
      <c r="G68" s="52"/>
      <c r="H68" s="52"/>
      <c r="I68" s="52"/>
      <c r="J68" s="52"/>
      <c r="K68" s="52"/>
      <c r="L68" s="52"/>
      <c r="M68" s="52"/>
      <c r="N68" s="52"/>
      <c r="O68" s="52"/>
      <c r="P68" s="52"/>
      <c r="Q68" s="52"/>
      <c r="R68" s="52"/>
      <c r="S68" s="52"/>
      <c r="T68" s="52"/>
      <c r="U68" s="52"/>
      <c r="V68" s="52"/>
    </row>
    <row r="69" spans="1:22" ht="15" customHeight="1" x14ac:dyDescent="0.25">
      <c r="B69" s="52"/>
      <c r="C69" s="52"/>
      <c r="D69" s="52"/>
      <c r="E69" s="52"/>
      <c r="F69" s="52"/>
      <c r="G69" s="52"/>
      <c r="H69" s="52"/>
      <c r="I69" s="52"/>
      <c r="J69" s="52"/>
      <c r="K69" s="52"/>
      <c r="L69" s="52"/>
      <c r="M69" s="52"/>
      <c r="N69" s="52"/>
      <c r="O69" s="52"/>
      <c r="P69" s="52"/>
      <c r="Q69" s="52"/>
      <c r="R69" s="52"/>
      <c r="S69" s="52"/>
      <c r="T69" s="52"/>
      <c r="U69" s="52"/>
      <c r="V69" s="52"/>
    </row>
    <row r="70" spans="1:22" ht="15" customHeight="1" x14ac:dyDescent="0.25">
      <c r="B70" s="52"/>
      <c r="C70" s="52"/>
      <c r="D70" s="52"/>
      <c r="E70" s="52"/>
      <c r="F70" s="52"/>
      <c r="G70" s="52"/>
      <c r="H70" s="52"/>
      <c r="I70" s="52"/>
      <c r="J70" s="52"/>
      <c r="K70" s="52"/>
      <c r="L70" s="52"/>
      <c r="M70" s="52"/>
      <c r="N70" s="52"/>
      <c r="O70" s="52"/>
      <c r="P70" s="52"/>
      <c r="Q70" s="52"/>
      <c r="R70" s="52"/>
      <c r="S70" s="52"/>
      <c r="T70" s="52"/>
      <c r="U70" s="52"/>
      <c r="V70" s="52"/>
    </row>
    <row r="71" spans="1:22" ht="15" customHeight="1" x14ac:dyDescent="0.25">
      <c r="B71" s="52"/>
      <c r="C71" s="52"/>
      <c r="D71" s="52"/>
      <c r="E71" s="52"/>
      <c r="F71" s="52"/>
      <c r="G71" s="52"/>
      <c r="H71" s="52"/>
      <c r="I71" s="52"/>
      <c r="J71" s="52"/>
      <c r="K71" s="52"/>
      <c r="L71" s="52"/>
      <c r="M71" s="52"/>
      <c r="N71" s="52"/>
      <c r="O71" s="52"/>
      <c r="P71" s="52"/>
      <c r="Q71" s="52"/>
      <c r="R71" s="52"/>
      <c r="S71" s="52"/>
      <c r="T71" s="52"/>
      <c r="U71" s="52"/>
      <c r="V71" s="52"/>
    </row>
    <row r="72" spans="1:22" ht="15" customHeight="1" x14ac:dyDescent="0.25">
      <c r="B72" s="52"/>
      <c r="C72" s="52"/>
      <c r="D72" s="52"/>
      <c r="E72" s="52"/>
      <c r="F72" s="52"/>
      <c r="G72" s="52"/>
      <c r="H72" s="52"/>
      <c r="I72" s="52"/>
      <c r="J72" s="52"/>
      <c r="K72" s="52"/>
      <c r="L72" s="52"/>
      <c r="M72" s="52"/>
      <c r="N72" s="52"/>
      <c r="O72" s="52"/>
      <c r="P72" s="52"/>
      <c r="Q72" s="52"/>
      <c r="R72" s="52"/>
      <c r="S72" s="52"/>
      <c r="T72" s="52"/>
      <c r="U72" s="52"/>
      <c r="V72" s="52"/>
    </row>
    <row r="73" spans="1:22" ht="15" customHeight="1" x14ac:dyDescent="0.25">
      <c r="B73" s="52"/>
      <c r="C73" s="52"/>
      <c r="D73" s="52"/>
      <c r="E73" s="52"/>
      <c r="F73" s="52"/>
      <c r="G73" s="52"/>
      <c r="H73" s="52"/>
      <c r="I73" s="52"/>
      <c r="J73" s="52"/>
      <c r="K73" s="52"/>
      <c r="L73" s="52"/>
      <c r="M73" s="52"/>
      <c r="N73" s="52"/>
      <c r="O73" s="52"/>
      <c r="P73" s="52"/>
      <c r="Q73" s="52"/>
      <c r="R73" s="52"/>
      <c r="S73" s="52"/>
      <c r="T73" s="52"/>
      <c r="U73" s="52"/>
      <c r="V73" s="52"/>
    </row>
    <row r="74" spans="1:22" ht="15" customHeight="1" x14ac:dyDescent="0.25">
      <c r="B74" s="52"/>
      <c r="C74" s="52"/>
      <c r="D74" s="52"/>
      <c r="E74" s="52"/>
      <c r="F74" s="52"/>
      <c r="G74" s="52"/>
      <c r="H74" s="52"/>
      <c r="I74" s="52"/>
      <c r="J74" s="52"/>
      <c r="K74" s="52"/>
      <c r="L74" s="52"/>
      <c r="M74" s="52"/>
      <c r="N74" s="52"/>
      <c r="O74" s="52"/>
      <c r="P74" s="52"/>
      <c r="Q74" s="52"/>
      <c r="R74" s="52"/>
      <c r="S74" s="52"/>
      <c r="T74" s="52"/>
      <c r="U74" s="52"/>
      <c r="V74" s="52"/>
    </row>
    <row r="75" spans="1:22" ht="15" customHeight="1" x14ac:dyDescent="0.25">
      <c r="B75" s="52"/>
      <c r="C75" s="52"/>
      <c r="D75" s="52"/>
      <c r="E75" s="52"/>
      <c r="F75" s="52"/>
      <c r="G75" s="52"/>
      <c r="H75" s="52"/>
      <c r="I75" s="52"/>
      <c r="J75" s="52"/>
      <c r="K75" s="52"/>
      <c r="L75" s="52"/>
      <c r="M75" s="52"/>
      <c r="N75" s="52"/>
      <c r="O75" s="52"/>
      <c r="P75" s="52"/>
      <c r="Q75" s="52"/>
      <c r="R75" s="52"/>
      <c r="S75" s="52"/>
      <c r="T75" s="52"/>
      <c r="U75" s="52"/>
      <c r="V75" s="52"/>
    </row>
    <row r="76" spans="1:22" ht="15" customHeight="1" x14ac:dyDescent="0.25">
      <c r="B76" s="52"/>
      <c r="C76" s="52"/>
      <c r="D76" s="52"/>
      <c r="E76" s="52"/>
      <c r="F76" s="52"/>
      <c r="G76" s="52"/>
      <c r="H76" s="52"/>
      <c r="I76" s="52"/>
      <c r="J76" s="52"/>
      <c r="K76" s="52"/>
      <c r="L76" s="52"/>
      <c r="M76" s="52"/>
      <c r="N76" s="52"/>
      <c r="O76" s="52"/>
      <c r="P76" s="52"/>
      <c r="Q76" s="52"/>
      <c r="R76" s="52"/>
      <c r="S76" s="52"/>
      <c r="T76" s="52"/>
      <c r="U76" s="52"/>
      <c r="V76" s="52"/>
    </row>
    <row r="77" spans="1:22" ht="15" customHeight="1" x14ac:dyDescent="0.25">
      <c r="B77" s="52"/>
      <c r="C77" s="52"/>
      <c r="D77" s="52"/>
      <c r="E77" s="52"/>
      <c r="F77" s="52"/>
      <c r="G77" s="52"/>
      <c r="H77" s="52"/>
      <c r="I77" s="52"/>
      <c r="J77" s="52"/>
      <c r="K77" s="52"/>
      <c r="L77" s="52"/>
      <c r="M77" s="52"/>
      <c r="N77" s="52"/>
      <c r="O77" s="52"/>
      <c r="P77" s="52"/>
      <c r="Q77" s="52"/>
      <c r="R77" s="52"/>
      <c r="S77" s="52"/>
      <c r="T77" s="52"/>
      <c r="U77" s="52"/>
      <c r="V77" s="52"/>
    </row>
    <row r="78" spans="1:22" ht="15" customHeight="1" x14ac:dyDescent="0.25">
      <c r="B78" s="52"/>
      <c r="C78" s="52"/>
      <c r="D78" s="52"/>
      <c r="E78" s="52"/>
      <c r="F78" s="52"/>
      <c r="G78" s="52"/>
      <c r="H78" s="52"/>
      <c r="I78" s="52"/>
      <c r="J78" s="52"/>
      <c r="K78" s="52"/>
      <c r="L78" s="52"/>
      <c r="M78" s="52"/>
      <c r="N78" s="52"/>
      <c r="O78" s="52"/>
      <c r="P78" s="52"/>
      <c r="Q78" s="52"/>
      <c r="R78" s="52"/>
      <c r="S78" s="52"/>
      <c r="T78" s="52"/>
      <c r="U78" s="52"/>
      <c r="V78" s="52"/>
    </row>
    <row r="79" spans="1:22" ht="15" customHeight="1" x14ac:dyDescent="0.25">
      <c r="B79" s="52"/>
      <c r="C79" s="52"/>
      <c r="D79" s="52"/>
      <c r="E79" s="52"/>
      <c r="F79" s="52"/>
      <c r="G79" s="52"/>
      <c r="H79" s="52"/>
      <c r="I79" s="52"/>
      <c r="J79" s="52"/>
      <c r="K79" s="52"/>
      <c r="L79" s="52"/>
      <c r="M79" s="52"/>
      <c r="N79" s="52"/>
      <c r="O79" s="52"/>
      <c r="P79" s="52"/>
      <c r="Q79" s="52"/>
      <c r="R79" s="52"/>
      <c r="S79" s="52"/>
      <c r="T79" s="52"/>
      <c r="U79" s="52"/>
      <c r="V79" s="52"/>
    </row>
    <row r="80" spans="1:22" ht="15" customHeight="1" x14ac:dyDescent="0.25">
      <c r="B80" s="52"/>
      <c r="C80" s="52"/>
      <c r="D80" s="52"/>
      <c r="E80" s="52"/>
      <c r="F80" s="52"/>
      <c r="G80" s="52"/>
      <c r="H80" s="52"/>
      <c r="I80" s="52"/>
      <c r="J80" s="52"/>
      <c r="K80" s="52"/>
      <c r="L80" s="52"/>
      <c r="M80" s="52"/>
      <c r="N80" s="52"/>
      <c r="O80" s="52"/>
      <c r="P80" s="52"/>
      <c r="Q80" s="52"/>
      <c r="R80" s="52"/>
      <c r="S80" s="52"/>
      <c r="T80" s="52"/>
      <c r="U80" s="52"/>
      <c r="V80" s="52"/>
    </row>
    <row r="81" spans="2:22" ht="15" customHeight="1" x14ac:dyDescent="0.25">
      <c r="B81" s="52"/>
      <c r="C81" s="52"/>
      <c r="D81" s="52"/>
      <c r="E81" s="52"/>
      <c r="F81" s="52"/>
      <c r="G81" s="52"/>
      <c r="H81" s="52"/>
      <c r="I81" s="39"/>
      <c r="J81" s="39"/>
      <c r="K81" s="39"/>
      <c r="L81" s="39"/>
      <c r="M81" s="39"/>
      <c r="N81" s="39"/>
      <c r="O81" s="39"/>
      <c r="P81" s="39"/>
      <c r="Q81" s="39"/>
      <c r="R81" s="39"/>
      <c r="S81" s="39"/>
      <c r="T81" s="39"/>
      <c r="U81" s="39"/>
      <c r="V81" s="39"/>
    </row>
    <row r="82" spans="2:22" ht="15" customHeight="1" x14ac:dyDescent="0.25">
      <c r="B82" s="37"/>
      <c r="C82" s="37"/>
      <c r="D82" s="37"/>
      <c r="E82" s="37"/>
      <c r="F82" s="37"/>
      <c r="G82" s="37"/>
      <c r="H82" s="37"/>
      <c r="I82" s="39"/>
      <c r="J82" s="39"/>
      <c r="K82" s="39"/>
      <c r="L82" s="39"/>
      <c r="M82" s="39"/>
      <c r="N82" s="39"/>
      <c r="O82" s="39"/>
      <c r="P82" s="39"/>
      <c r="Q82" s="39"/>
      <c r="R82" s="39"/>
      <c r="S82" s="39"/>
      <c r="T82" s="39"/>
      <c r="U82" s="39"/>
      <c r="V82" s="39"/>
    </row>
    <row r="83" spans="2:22" ht="15" customHeight="1" x14ac:dyDescent="0.25">
      <c r="B83" s="37"/>
      <c r="C83" s="37"/>
      <c r="D83" s="37"/>
      <c r="E83" s="37"/>
      <c r="F83" s="37"/>
      <c r="G83" s="37"/>
      <c r="H83" s="37"/>
      <c r="I83" s="39"/>
      <c r="J83" s="39"/>
      <c r="K83" s="37"/>
      <c r="L83" s="37"/>
      <c r="M83" s="37"/>
      <c r="N83" s="37"/>
      <c r="O83" s="37"/>
      <c r="P83" s="37"/>
      <c r="Q83" s="37"/>
      <c r="R83" s="37"/>
      <c r="S83" s="37"/>
      <c r="T83" s="37"/>
      <c r="U83" s="37"/>
      <c r="V83" s="37"/>
    </row>
    <row r="84" spans="2:22" ht="15" customHeight="1" x14ac:dyDescent="0.25">
      <c r="B84" s="37"/>
      <c r="C84" s="37"/>
      <c r="D84" s="37"/>
      <c r="E84" s="37"/>
      <c r="F84" s="37"/>
      <c r="G84" s="37"/>
      <c r="H84" s="37"/>
      <c r="I84" s="39"/>
      <c r="J84" s="39"/>
      <c r="K84" s="37"/>
      <c r="L84" s="37"/>
      <c r="M84" s="37"/>
      <c r="N84" s="37"/>
      <c r="O84" s="37"/>
      <c r="P84" s="37"/>
      <c r="Q84" s="37"/>
      <c r="R84" s="37"/>
      <c r="S84" s="37"/>
      <c r="T84" s="37"/>
      <c r="U84" s="37"/>
      <c r="V84" s="37"/>
    </row>
    <row r="85" spans="2:22" ht="15" customHeight="1" x14ac:dyDescent="0.25">
      <c r="B85" s="37"/>
      <c r="C85" s="37"/>
      <c r="D85" s="37"/>
      <c r="E85" s="37"/>
      <c r="F85" s="37"/>
      <c r="G85" s="37"/>
      <c r="H85" s="37"/>
      <c r="I85" s="39"/>
      <c r="J85" s="39"/>
      <c r="K85" s="37"/>
      <c r="L85" s="37"/>
      <c r="M85" s="37"/>
      <c r="N85" s="37"/>
      <c r="O85" s="37"/>
      <c r="P85" s="37"/>
      <c r="Q85" s="37"/>
      <c r="R85" s="37"/>
      <c r="S85" s="37"/>
      <c r="T85" s="37"/>
      <c r="U85" s="37"/>
      <c r="V85" s="37"/>
    </row>
    <row r="86" spans="2:22" ht="15" customHeight="1" x14ac:dyDescent="0.25">
      <c r="B86" s="37"/>
      <c r="C86" s="37"/>
      <c r="D86" s="37"/>
      <c r="E86" s="37"/>
      <c r="F86" s="37"/>
      <c r="G86" s="37"/>
      <c r="H86" s="37"/>
      <c r="I86" s="39"/>
      <c r="J86" s="39"/>
      <c r="K86" s="37"/>
      <c r="L86" s="37"/>
      <c r="M86" s="37"/>
      <c r="N86" s="37"/>
      <c r="O86" s="37"/>
      <c r="P86" s="37"/>
      <c r="Q86" s="37"/>
      <c r="R86" s="37"/>
      <c r="S86" s="37"/>
      <c r="T86" s="37"/>
      <c r="U86" s="37"/>
      <c r="V86" s="37"/>
    </row>
    <row r="87" spans="2:22" ht="15" customHeight="1" x14ac:dyDescent="0.25">
      <c r="B87" s="37"/>
      <c r="C87" s="37"/>
      <c r="D87" s="37"/>
      <c r="E87" s="37"/>
      <c r="F87" s="37"/>
      <c r="G87" s="37"/>
      <c r="H87" s="37"/>
      <c r="I87" s="39"/>
      <c r="J87" s="39"/>
      <c r="K87" s="37"/>
      <c r="L87" s="37"/>
      <c r="M87" s="37"/>
      <c r="N87" s="37"/>
      <c r="O87" s="37"/>
      <c r="P87" s="37"/>
      <c r="Q87" s="37"/>
      <c r="R87" s="37"/>
      <c r="S87" s="37"/>
      <c r="T87" s="37"/>
      <c r="U87" s="37"/>
      <c r="V87" s="37"/>
    </row>
    <row r="88" spans="2:22" x14ac:dyDescent="0.25">
      <c r="B88" s="37"/>
      <c r="C88" s="37"/>
      <c r="D88" s="37"/>
      <c r="E88" s="37"/>
      <c r="F88" s="37"/>
      <c r="G88" s="37"/>
      <c r="H88" s="37"/>
      <c r="I88" s="39"/>
      <c r="J88" s="39"/>
      <c r="K88" s="37"/>
      <c r="L88" s="37"/>
      <c r="M88" s="37"/>
      <c r="N88" s="37"/>
      <c r="O88" s="37"/>
      <c r="P88" s="37"/>
      <c r="Q88" s="37"/>
      <c r="R88" s="37"/>
      <c r="S88" s="37"/>
      <c r="T88" s="37"/>
      <c r="U88" s="37"/>
      <c r="V88" s="37"/>
    </row>
    <row r="89" spans="2:22" x14ac:dyDescent="0.25">
      <c r="B89" s="37"/>
      <c r="C89" s="37"/>
      <c r="D89" s="37"/>
      <c r="E89" s="37"/>
      <c r="F89" s="37"/>
      <c r="G89" s="37"/>
      <c r="H89" s="37"/>
      <c r="I89" s="39"/>
      <c r="J89" s="39"/>
      <c r="K89" s="37"/>
      <c r="L89" s="37"/>
      <c r="M89" s="37"/>
      <c r="N89" s="37"/>
      <c r="O89" s="37"/>
      <c r="P89" s="37"/>
      <c r="Q89" s="37"/>
      <c r="R89" s="37"/>
      <c r="S89" s="37"/>
      <c r="T89" s="37"/>
      <c r="U89" s="37"/>
      <c r="V89" s="37"/>
    </row>
    <row r="90" spans="2:22" x14ac:dyDescent="0.25">
      <c r="B90" s="37"/>
      <c r="C90" s="37"/>
      <c r="D90" s="37"/>
      <c r="E90" s="37"/>
      <c r="F90" s="37"/>
      <c r="G90" s="37"/>
      <c r="H90" s="37"/>
      <c r="I90" s="39"/>
      <c r="J90" s="39"/>
      <c r="K90" s="37"/>
      <c r="L90" s="37"/>
      <c r="M90" s="37"/>
      <c r="N90" s="37"/>
      <c r="O90" s="37"/>
      <c r="P90" s="37"/>
      <c r="Q90" s="37"/>
      <c r="R90" s="37"/>
      <c r="S90" s="37"/>
      <c r="T90" s="37"/>
      <c r="U90" s="37"/>
      <c r="V90" s="37"/>
    </row>
    <row r="91" spans="2:22" x14ac:dyDescent="0.25">
      <c r="B91" s="37"/>
      <c r="C91" s="37"/>
      <c r="D91" s="37"/>
      <c r="E91" s="37"/>
      <c r="F91" s="37"/>
      <c r="G91" s="37"/>
      <c r="H91" s="37"/>
      <c r="I91" s="39"/>
      <c r="J91" s="39"/>
      <c r="K91" s="37"/>
      <c r="L91" s="37"/>
      <c r="M91" s="37"/>
      <c r="N91" s="37"/>
      <c r="O91" s="37"/>
      <c r="P91" s="37"/>
      <c r="Q91" s="37"/>
      <c r="R91" s="37"/>
      <c r="S91" s="37"/>
      <c r="T91" s="37"/>
      <c r="U91" s="37"/>
      <c r="V91" s="37"/>
    </row>
    <row r="92" spans="2:22" x14ac:dyDescent="0.25">
      <c r="B92" s="37"/>
      <c r="C92" s="37"/>
      <c r="D92" s="37"/>
      <c r="E92" s="37"/>
      <c r="F92" s="37"/>
      <c r="G92" s="37"/>
      <c r="H92" s="37"/>
      <c r="I92" s="39"/>
      <c r="J92" s="39"/>
      <c r="K92" s="37"/>
      <c r="L92" s="37"/>
      <c r="M92" s="37"/>
      <c r="N92" s="37"/>
      <c r="O92" s="37"/>
      <c r="P92" s="37"/>
      <c r="Q92" s="37"/>
      <c r="R92" s="37"/>
      <c r="S92" s="37"/>
      <c r="T92" s="37"/>
      <c r="U92" s="37"/>
      <c r="V92" s="37"/>
    </row>
    <row r="93" spans="2:22" x14ac:dyDescent="0.25">
      <c r="B93" s="37"/>
      <c r="C93" s="37"/>
      <c r="D93" s="37"/>
      <c r="E93" s="37"/>
      <c r="F93" s="37"/>
      <c r="G93" s="37"/>
      <c r="H93" s="37"/>
      <c r="I93" s="39"/>
      <c r="J93" s="39"/>
      <c r="K93" s="37"/>
      <c r="L93" s="37"/>
      <c r="M93" s="37"/>
      <c r="N93" s="37"/>
      <c r="O93" s="37"/>
      <c r="P93" s="37"/>
      <c r="Q93" s="37"/>
      <c r="R93" s="37"/>
      <c r="S93" s="37"/>
      <c r="T93" s="37"/>
      <c r="U93" s="37"/>
      <c r="V93" s="37"/>
    </row>
    <row r="94" spans="2:22" x14ac:dyDescent="0.25">
      <c r="B94" s="37"/>
      <c r="C94" s="37"/>
      <c r="D94" s="37"/>
      <c r="E94" s="37"/>
      <c r="F94" s="37"/>
      <c r="G94" s="37"/>
      <c r="H94" s="37"/>
      <c r="I94" s="39"/>
      <c r="J94" s="39"/>
      <c r="K94" s="37"/>
      <c r="L94" s="37"/>
      <c r="M94" s="37"/>
      <c r="N94" s="37"/>
      <c r="O94" s="37"/>
      <c r="P94" s="37"/>
      <c r="Q94" s="37"/>
      <c r="R94" s="37"/>
      <c r="S94" s="37"/>
      <c r="T94" s="37"/>
      <c r="U94" s="37"/>
      <c r="V94" s="37"/>
    </row>
    <row r="95" spans="2:22" x14ac:dyDescent="0.25">
      <c r="B95" s="37"/>
      <c r="C95" s="37"/>
      <c r="D95" s="37"/>
      <c r="E95" s="37"/>
      <c r="F95" s="37"/>
      <c r="G95" s="37"/>
      <c r="H95" s="37"/>
      <c r="I95" s="37"/>
      <c r="J95" s="37"/>
      <c r="K95" s="37"/>
      <c r="L95" s="37"/>
      <c r="M95" s="37"/>
      <c r="N95" s="37"/>
      <c r="O95" s="37"/>
      <c r="P95" s="37"/>
      <c r="Q95" s="37"/>
      <c r="R95" s="37"/>
      <c r="S95" s="37"/>
      <c r="T95" s="37"/>
      <c r="U95" s="37"/>
      <c r="V95" s="37"/>
    </row>
    <row r="96" spans="2:22" x14ac:dyDescent="0.25">
      <c r="B96" s="37"/>
      <c r="C96" s="37"/>
      <c r="D96" s="37"/>
      <c r="E96" s="37"/>
      <c r="F96" s="37"/>
      <c r="G96" s="37"/>
      <c r="H96" s="37"/>
    </row>
    <row r="102" spans="1:72" s="38" customFormat="1" ht="15" customHeight="1" x14ac:dyDescent="0.25">
      <c r="A102" s="56"/>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row>
    <row r="103" spans="1:72" s="38" customFormat="1" ht="15" customHeight="1" x14ac:dyDescent="0.25">
      <c r="A103" s="56"/>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row>
    <row r="108" spans="1:72" s="38" customFormat="1" ht="15" customHeight="1" x14ac:dyDescent="0.25">
      <c r="A108" s="56"/>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row>
    <row r="111" spans="1:72" s="38" customFormat="1" x14ac:dyDescent="0.25">
      <c r="A111" s="56"/>
      <c r="B111" s="37"/>
      <c r="C111" s="37"/>
      <c r="D111" s="37"/>
      <c r="E111" s="37"/>
      <c r="F111" s="37"/>
      <c r="G111" s="37"/>
      <c r="H111" s="37"/>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row>
    <row r="112" spans="1:72" s="38" customFormat="1" x14ac:dyDescent="0.25">
      <c r="A112" s="56"/>
      <c r="B112" s="37"/>
      <c r="E112" s="37"/>
      <c r="F112" s="37"/>
      <c r="G112" s="37"/>
      <c r="H112" s="37"/>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row>
    <row r="117" spans="1:72" s="38" customFormat="1" x14ac:dyDescent="0.25">
      <c r="A117" s="56"/>
      <c r="B117" s="37"/>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11956</ReferenceId>
    <Notes xmlns="1e572c8d-6813-4013-8a4a-be491ac59459" xsi:nil="true"/>
    <TrackerId xmlns="1e572c8d-6813-4013-8a4a-be491ac59459">TRCK-3549</TrackerId>
  </documentManagement>
</p:properties>
</file>

<file path=customXml/itemProps1.xml><?xml version="1.0" encoding="utf-8"?>
<ds:datastoreItem xmlns:ds="http://schemas.openxmlformats.org/officeDocument/2006/customXml" ds:itemID="{DFF329D3-D117-4ABC-AE0B-216E2FB9EA40}"/>
</file>

<file path=customXml/itemProps2.xml><?xml version="1.0" encoding="utf-8"?>
<ds:datastoreItem xmlns:ds="http://schemas.openxmlformats.org/officeDocument/2006/customXml" ds:itemID="{B33EEC0F-91E8-47A5-9187-84BB4ECB7FA9}"/>
</file>

<file path=customXml/itemProps3.xml><?xml version="1.0" encoding="utf-8"?>
<ds:datastoreItem xmlns:ds="http://schemas.openxmlformats.org/officeDocument/2006/customXml" ds:itemID="{29511A68-64E3-4104-A0F9-7EED12B15BB8}">
  <ds:schemaRefs>
    <ds:schemaRef ds:uri="http://schemas.microsoft.com/office/2006/metadata/properties"/>
    <ds:schemaRef ds:uri="http://schemas.microsoft.com/office/infopath/2007/PartnerControls"/>
    <ds:schemaRef ds:uri="eb8c0be1-eb5f-4b09-9aad-2bd5a3d4f116"/>
    <ds:schemaRef ds:uri="8ed663f5-0568-4fc0-bbdf-db3099a6bb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Contents</vt:lpstr>
      <vt:lpstr>Previous_data_and_publications</vt:lpstr>
      <vt:lpstr>Notes</vt:lpstr>
      <vt:lpstr>Table_1</vt:lpstr>
      <vt:lpstr>Table_2</vt:lpstr>
      <vt:lpstr>Table_3</vt:lpstr>
      <vt:lpstr>Table_4</vt:lpstr>
      <vt:lpstr>Table_5</vt:lpstr>
      <vt:lpstr>Table_6</vt:lpstr>
      <vt:lpstr>Table_7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Murphy, Rhian</cp:lastModifiedBy>
  <cp:revision/>
  <dcterms:created xsi:type="dcterms:W3CDTF">2025-09-05T09:39:46Z</dcterms:created>
  <dcterms:modified xsi:type="dcterms:W3CDTF">2025-09-17T06:50:42Z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